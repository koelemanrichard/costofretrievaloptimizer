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Checklist" sheetId="1" state="visible" r:id="rId3"/>
    <sheet name="Legenda" sheetId="2" state="visible" r:id="rId4"/>
  </sheets>
  <definedNames>
    <definedName function="false" hidden="false" localSheetId="0" name="_xlnm.Print_Titles" vbProcedure="false">'Audit Checklist'!$1:$4</definedName>
    <definedName function="false" hidden="true" localSheetId="0" name="_xlnm._FilterDatabase" vbProcedure="false">'Audit Checklist'!$A$4:$G$444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<sst xmlns="http://schemas.openxmlformats.org/spreadsheetml/2006/main" count="1881" uniqueCount="631">
  <si>
    <t xml:space="preserve">SEMANTIC SEO CONTENT AUDIT CHECKLIST</t>
  </si>
  <si>
    <t xml:space="preserve">Koray Tuğberk Gübür's Holistic SEO Framework  •  437 regels  •  Versie 2.0</t>
  </si>
  <si>
    <t xml:space="preserve">  URL / Pagina:                                                            Datum:                           Auditor:</t>
  </si>
  <si>
    <t xml:space="preserve">#</t>
  </si>
  <si>
    <t xml:space="preserve">Deel</t>
  </si>
  <si>
    <t xml:space="preserve">Sectie</t>
  </si>
  <si>
    <t xml:space="preserve">Regel</t>
  </si>
  <si>
    <t xml:space="preserve">Prio</t>
  </si>
  <si>
    <t xml:space="preserve">Status</t>
  </si>
  <si>
    <t xml:space="preserve">Notities</t>
  </si>
  <si>
    <t xml:space="preserve">DEEL A: STRATEGISCHE FUNDERING</t>
  </si>
  <si>
    <t xml:space="preserve">I. MACRO CONTEXT &amp; POSITIONERING</t>
  </si>
  <si>
    <t xml:space="preserve">STRATEGISCHE FUNDERING</t>
  </si>
  <si>
    <t xml:space="preserve">MACRO CONTEXT &amp; POSITIONERING</t>
  </si>
  <si>
    <t xml:space="preserve">Pagina richt zich op ÉÉN Macro Context en ÉÉN Central Entity (CE)</t>
  </si>
  <si>
    <t xml:space="preserve">P0</t>
  </si>
  <si>
    <t xml:space="preserve">H1, Title tag en Centerpiece Text delen dezelfde kernfocus</t>
  </si>
  <si>
    <t xml:space="preserve">Geen menging van twee hoofdthema's op dezelfde pagina (= relevantieverdunning)</t>
  </si>
  <si>
    <t xml:space="preserve">Central Entity is helder gedefinieerd in de eerste 2 zinnen</t>
  </si>
  <si>
    <t xml:space="preserve">P1</t>
  </si>
  <si>
    <t xml:space="preserve">Central Entity verschijnt in de eerste zin van de pagina</t>
  </si>
  <si>
    <t xml:space="preserve">Content sluit aan bij de Source Context en Central Search Intent (CSI)</t>
  </si>
  <si>
    <t xml:space="preserve">Attributenprioriteit past bij het monetisatiedoel van de SC</t>
  </si>
  <si>
    <t xml:space="preserve">SC-type bepaalt welke attributen domineren (zie tabel hieronder)</t>
  </si>
  <si>
    <t xml:space="preserve">Duidelijk of pagina Core Section (CS) of Author Section (AS) is</t>
  </si>
  <si>
    <t xml:space="preserve">Geen content die buiten SC valt zonder contextual bridge</t>
  </si>
  <si>
    <t xml:space="preserve">P2</t>
  </si>
  <si>
    <t xml:space="preserve">CSI-predicaten (werkwoorden) geïdentificeerd en consistent gebruikt</t>
  </si>
  <si>
    <t xml:space="preserve">CSI-predicaten verschijnen in root-documenten en major headings</t>
  </si>
  <si>
    <t xml:space="preserve">Predicaten passen bij SC-type (diensten: "biedt, levert, lost op"; e-commerce: "koop, vergelijk, bestel"; informatie: "leer, begrijp, ontdek")</t>
  </si>
  <si>
    <t xml:space="preserve">Subsectie-lengte is proportioneel aan het belang van het subonderwerp voor de Macro Context</t>
  </si>
  <si>
    <t xml:space="preserve">Geen over-coverage: minor attributen domineren niet de pagina</t>
  </si>
  <si>
    <t xml:space="preserve">Proportionele H2's: belangrijke topics krijgen meer coverage dan bijzaken</t>
  </si>
  <si>
    <t xml:space="preserve">II. E-E-A-T SIGNALERING</t>
  </si>
  <si>
    <t xml:space="preserve">E-E-A-T SIGNALERING</t>
  </si>
  <si>
    <t xml:space="preserve">Author Entity gedefinieerd met naam en credentials</t>
  </si>
  <si>
    <t xml:space="preserve">Consistent auteursnaamformaat overal op de site</t>
  </si>
  <si>
    <t xml:space="preserve">Author schema markup aanwezig (name, url, sameAs)</t>
  </si>
  <si>
    <t xml:space="preserve">Externe citaties: auteur vermeld op externe bronnen (Wikipedia, podcasts, vakbladen)</t>
  </si>
  <si>
    <t xml:space="preserve">P3</t>
  </si>
  <si>
    <t xml:space="preserve">Signalen van menselijke inspanning: origineel onderzoek, unieke inzichten, eigen ervaring</t>
  </si>
  <si>
    <t xml:space="preserve">Domeinspecifieke terminologie consequent en correct gebruikt (expertisesignaal)</t>
  </si>
  <si>
    <t xml:space="preserve">Unieke schrijfstijl / Expression Identity herkenbaar — niet generiek</t>
  </si>
  <si>
    <t xml:space="preserve">Vocabulaire-rijkdom: gevarieerd taalgebruik als expertise-indicator (Uniqueness Score)</t>
  </si>
  <si>
    <t xml:space="preserve">Publicatiefrequentie voldoende (Momentum) — niet sporadisch</t>
  </si>
  <si>
    <t xml:space="preserve">P4</t>
  </si>
  <si>
    <t xml:space="preserve">Geen "Overall" aan einde van secties</t>
  </si>
  <si>
    <t xml:space="preserve">Geen "I had the pleasure of visiting" of vergelijkbare constructies</t>
  </si>
  <si>
    <t xml:space="preserve">Geen "In today's world" of "In this day and age"</t>
  </si>
  <si>
    <t xml:space="preserve">Geen "It is important to note that" — zeg het feit direct</t>
  </si>
  <si>
    <t xml:space="preserve">Geen lijsten die beginnen met "Firstly, Secondly, Thirdly"</t>
  </si>
  <si>
    <t xml:space="preserve">Geen "In conclusion" als afsluiting</t>
  </si>
  <si>
    <t xml:space="preserve">Geen herkenbare AI-gegenereerde review-patronen</t>
  </si>
  <si>
    <t xml:space="preserve">DEEL B: ENTITY-ATTRIBUTE-VALUE (EAV) SYSTEEM</t>
  </si>
  <si>
    <t xml:space="preserve">III. EAV TRIPLE-STRUCTUUR</t>
  </si>
  <si>
    <t xml:space="preserve">ENTITY-ATTRIBUTE-VALUE (E</t>
  </si>
  <si>
    <t xml:space="preserve">EAV TRIPLE-STRUCTUUR</t>
  </si>
  <si>
    <t xml:space="preserve">Alle feiten zijn gestructureerd als Subject-Predicate-Object (EAV triples)</t>
  </si>
  <si>
    <t xml:space="preserve">Elke zin levert bij voorkeur ÉÉN unieke EAV triple</t>
  </si>
  <si>
    <t xml:space="preserve">EAV triples zijn expliciet — niet impliciet of verborgen in complexe zinnen</t>
  </si>
  <si>
    <t xml:space="preserve">Geen onnodige woorden tussen Entity, Attribute en Value</t>
  </si>
  <si>
    <t xml:space="preserve">Entiteiten expliciet benoemd — geen ambigue voornaamwoorden ("het", "dit", "hij") waar verwarring mogelijk is</t>
  </si>
  <si>
    <t xml:space="preserve">Uitzondering: voornaamwoord alleen toegestaan als er slechts één entiteit in de direct voorafgaande zin staat zonder enige verwarringsmogelijkheid</t>
  </si>
  <si>
    <t xml:space="preserve">Bij eerste vermelding: entiteit met volledige naam + definitie</t>
  </si>
  <si>
    <t xml:space="preserve">Waarden specifiek en kwantitatief — geen "veel", "aanzienlijk", "diverse", "structureel lager"</t>
  </si>
  <si>
    <t xml:space="preserve">Getallen inclusief eenheden (€50, 15 werkdagen, 30 m², 9-13 jaar)</t>
  </si>
  <si>
    <t xml:space="preserve">Bereiken gebruikt bij onzekere waarden ("tussen 10 en 15 werkdagen", niet "ongeveer 12 dagen")</t>
  </si>
  <si>
    <t xml:space="preserve">"Beste" of superlatieven alleen met meetbare criteria/onderbouwing</t>
  </si>
  <si>
    <t xml:space="preserve">Unique Attributes aanwezig (≥3 stuks) — uniek identificerend, onderscheidend van concurrenten</t>
  </si>
  <si>
    <t xml:space="preserve">Root Attributes volledig behandeld — essentieel voor definitie (prijs, locatie, duur, vereisten, samenstelling)</t>
  </si>
  <si>
    <t xml:space="preserve">Rare Attributes aanwezig — expertise/diepgang-signaal, niet bij concurrenten te vinden</t>
  </si>
  <si>
    <t xml:space="preserve">Attribuutvolgorde in content: Unique → Root → Rare</t>
  </si>
  <si>
    <t xml:space="preserve">Uitzondering: historische/achtergrondattributen komen laatst, tenzij SC historisch is</t>
  </si>
  <si>
    <t xml:space="preserve">IV. KNOWLEDGE-BASED TRUST (KBT) — CONSISTENTIE</t>
  </si>
  <si>
    <t xml:space="preserve">KNOWLEDGE-BASED TRUST (KBT) — </t>
  </si>
  <si>
    <t xml:space="preserve">Merknaam/entiteitsnaam overal identiek gespeld (geen variatie in schrijfwijze)</t>
  </si>
  <si>
    <t xml:space="preserve">Feiten consistent met rest van de website (geen conflicterende waarden)</t>
  </si>
  <si>
    <t xml:space="preserve">Feiten in lijn met externe authoritative sources (Wikipedia, brancheorganisaties, overheidsbronnen)</t>
  </si>
  <si>
    <t xml:space="preserve">Eenheden consistent (altijd metrisch óf altijd imperiaal, niet mengen)</t>
  </si>
  <si>
    <t xml:space="preserve">Datumformaat consistent door hele content en hele site</t>
  </si>
  <si>
    <t xml:space="preserve">Geen tegenstrijdige definities van dezelfde term op verschillende pagina's</t>
  </si>
  <si>
    <t xml:space="preserve">Geen tegenstrijdige beweringen over hetzelfde attribuut op verschillende pagina's (bijv. "€50" op pagina A, "€60" op pagina B)</t>
  </si>
  <si>
    <t xml:space="preserve">Bij "Beste" claim voor meerdere items: duidelijke criteria per claim</t>
  </si>
  <si>
    <t xml:space="preserve">V. MODALITEIT (Zekerheid &amp; Predicaattypen)</t>
  </si>
  <si>
    <t xml:space="preserve">MODALITEIT (Zekerheid &amp; Predic</t>
  </si>
  <si>
    <t xml:space="preserve">"is/zijn" (definiërend) voor vaststaande feiten en wetenschappelijke consensus</t>
  </si>
  <si>
    <t xml:space="preserve">"kan/mag" (mogelijkheid) voor variabele uitkomsten en conditionele resultaten</t>
  </si>
  <si>
    <t xml:space="preserve">"moet/dient" (adviserend) voor professioneel advies en wettelijke vereisten</t>
  </si>
  <si>
    <t xml:space="preserve">"zou/zou kunnen" (onzeker) alleen voor daadwerkelijk betwiste of variabele claims</t>
  </si>
  <si>
    <t xml:space="preserve">Geen vals twijfelen ("kan wellicht misschien") bij bewezen feiten</t>
  </si>
  <si>
    <t xml:space="preserve">Geen overgeneralisatie: "X veroorzaakt Y" alleen als dat altijd zo is; anders "X kan Y veroorzaken"</t>
  </si>
  <si>
    <t xml:space="preserve">Definitie-predicaten correct: is, zijn, betekent, verwijst naar</t>
  </si>
  <si>
    <t xml:space="preserve">Compositie-predicaten correct: bevat, omvat, heeft, bestaat uit</t>
  </si>
  <si>
    <t xml:space="preserve">Causale predicaten correct: veroorzaakt, resulteert in, leidt tot</t>
  </si>
  <si>
    <t xml:space="preserve">Vergelijkende predicaten correct: overtreft, verschilt van, is gelijk aan</t>
  </si>
  <si>
    <t xml:space="preserve">Actie-predicaten correct: voert uit, genereert, creëert</t>
  </si>
  <si>
    <t xml:space="preserve">Consistente predicaten voor dezelfde relaties door hele pagina (niet afwisselend "kost" en "is geprijsd op")</t>
  </si>
  <si>
    <t xml:space="preserve">Predicaten triggeren "frames" — alle verwachte elementen zijn aanwezig</t>
  </si>
  <si>
    <t xml:space="preserve">Frame "kopen": [Wie] koopt [Wat] van [Wie] voor [Prijs] — elementen ingevuld</t>
  </si>
  <si>
    <t xml:space="preserve">Frame "veroorzaken": [Oorzaak] veroorzaakt [Gevolg] onder [Conditie] — elementen ingevuld</t>
  </si>
  <si>
    <t xml:space="preserve">Frame "aanbevelen": [Expert] beveelt [Actie] aan voor [Doelgroep] vanwege [Reden]</t>
  </si>
  <si>
    <t xml:space="preserve">DEEL C: MICRO-SEMANTIEK (Zin- en Woordniveau)</t>
  </si>
  <si>
    <t xml:space="preserve">VI. ZINSSTRUCTUUR</t>
  </si>
  <si>
    <t xml:space="preserve">MICRO-SEMANTIEK (Zin- en </t>
  </si>
  <si>
    <t xml:space="preserve">ZINSSTRUCTUUR</t>
  </si>
  <si>
    <t xml:space="preserve">Zinnen volgen helder Subject-Predicate-Object patroon</t>
  </si>
  <si>
    <t xml:space="preserve">Definitiezinnen: max 15-20 woorden</t>
  </si>
  <si>
    <t xml:space="preserve">Verklarende zinnen: max 20-30 woorden</t>
  </si>
  <si>
    <t xml:space="preserve">Instructiezinnen: max 10-15 woorden</t>
  </si>
  <si>
    <t xml:space="preserve">Gemiddelde zinslengte &lt;30 woorden</t>
  </si>
  <si>
    <t xml:space="preserve">Korte dependency trees — geen meervoudig geneste bijzinnen</t>
  </si>
  <si>
    <t xml:space="preserve">VII. WOORDVOLGORDE &amp; PROMINENTIE</t>
  </si>
  <si>
    <t xml:space="preserve">WOORDVOLGORDE &amp; PROMINENTIE</t>
  </si>
  <si>
    <t xml:space="preserve">Standaard woordvolgorde gebruikt (hoge parseerkans door zoekmachines)</t>
  </si>
  <si>
    <t xml:space="preserve">Belangrijkste entiteit staat aan het begin van de zin (entity prominence)</t>
  </si>
  <si>
    <t xml:space="preserve">Attributen staan dicht bij hun entiteit (niet gescheiden door bijzinnen)</t>
  </si>
  <si>
    <t xml:space="preserve">Waarden staan direct naast attributen ("weegt 171 gram", niet "weegt, afhankelijk van het model, circa 171 gram")</t>
  </si>
  <si>
    <t xml:space="preserve">Bij attribuut-prominentie: start met het attribuut ("Het gewicht van X is Y")</t>
  </si>
  <si>
    <t xml:space="preserve">Bij waarde-prominentie: start met de waarde ("171 gram weegt de X")</t>
  </si>
  <si>
    <t xml:space="preserve">VIII. CONTEXT QUALIFIERS</t>
  </si>
  <si>
    <t xml:space="preserve">CONTEXT QUALIFIERS</t>
  </si>
  <si>
    <t xml:space="preserve">Locatiequalifiers aanwezig waar relevant (in Nederland, voor Noord-Brabant, in Oosterhout)</t>
  </si>
  <si>
    <t xml:space="preserve">Tijdqualifiers aanwezig waar relevant (in 2025, tijdens winter, na 5 jaar)</t>
  </si>
  <si>
    <t xml:space="preserve">Doelgroepqualifiers aanwezig (voor particulieren, voor bedrijven, voor VvE's)</t>
  </si>
  <si>
    <t xml:space="preserve">Conditiequalifiers aanwezig (bij lekkage, zonder ervaring, voor beginners)</t>
  </si>
  <si>
    <t xml:space="preserve">Hoeveelheidsqualifiers aanwezig (onder €50, meer dan 100 m², tussen 3-5 jaar)</t>
  </si>
  <si>
    <t xml:space="preserve">Qualifiers in headings waar relevant (sterkste signaal)</t>
  </si>
  <si>
    <t xml:space="preserve">Qualifiers in eerste zin na heading (hoog signaal)</t>
  </si>
  <si>
    <t xml:space="preserve">Qualifiers consistent door hele pagina (niet wisselend)</t>
  </si>
  <si>
    <t xml:space="preserve">Query Specificity Ladder: qualifiers gestapeld voor long-tail targeting</t>
  </si>
  <si>
    <t xml:space="preserve">DEEL D: INFORMATIEDICHTHEID</t>
  </si>
  <si>
    <t xml:space="preserve">IX. DICHTHEIDSREGELS</t>
  </si>
  <si>
    <t xml:space="preserve">INFORMATIEDICHTHEID</t>
  </si>
  <si>
    <t xml:space="preserve">DICHTHEIDSREGELS</t>
  </si>
  <si>
    <t xml:space="preserve">Elke alinea voegt nieuwe, unieke informatie toe</t>
  </si>
  <si>
    <t xml:space="preserve">Geen herhaling van hetzelfde feit in andere woorden (redundantie)</t>
  </si>
  <si>
    <t xml:space="preserve">Geen opvulzinnen zonder feitelijke waarde</t>
  </si>
  <si>
    <t xml:space="preserve">Meningen onderbouwd met meetbare criteria ("beste" alleen met bewijs)</t>
  </si>
  <si>
    <t xml:space="preserve">Directe antwoorden — geen omhaal voordat de kernvraag beantwoord wordt</t>
  </si>
  <si>
    <t xml:space="preserve">Elke alinea bevat minstens 1 extraheerbaar feit</t>
  </si>
  <si>
    <t xml:space="preserve">X. VULWOORDEN &amp; OVERBODIGHEDEN</t>
  </si>
  <si>
    <t xml:space="preserve">VULWOORDEN &amp; OVERBODIGHEDEN</t>
  </si>
  <si>
    <t xml:space="preserve">Verwijderd: "eigenlijk", "in principe", "heel", "erg", "vrij", "nogal", "enigszins"</t>
  </si>
  <si>
    <t xml:space="preserve">Verwijderd: "zoals eerder vermeld", "het is belangrijk op te merken dat", "vanzelfsprekend"</t>
  </si>
  <si>
    <t xml:space="preserve">Verwijderd: "al met al", "concluderend", "uiteindelijk", "als het ware", "als zodanig"</t>
  </si>
  <si>
    <t xml:space="preserve">Verwijderd: "om zo te zeggen", "het moge duidelijk zijn", "niet in de laatste plaats"</t>
  </si>
  <si>
    <t xml:space="preserve">Verwijderd: "actually", "basically", "really", "very", "quite", "rather", "somewhat"</t>
  </si>
  <si>
    <t xml:space="preserve">Verwijderd: "overall", "in conclusion", "as stated before", "it goes without saying"</t>
  </si>
  <si>
    <t xml:space="preserve">Verwijderd: "needless to say", "at the end of the day", "in my opinion"</t>
  </si>
  <si>
    <t xml:space="preserve">Verwijderd: "I had the pleasure of", "it is important to note that", "in today's world"</t>
  </si>
  <si>
    <t xml:space="preserve">"Veel" vervangen door exact getal ("12 bedrijven" ipv "diverse bedrijven")</t>
  </si>
  <si>
    <t xml:space="preserve">"Sommige" vervangen door specificatie ("3 van de 7 typen" ipv "sommige typen")</t>
  </si>
  <si>
    <t xml:space="preserve">"Aanzienlijk" vervangen door kwantitatieve vergelijking ("40% lager" ipv "aanzienlijk lager")</t>
  </si>
  <si>
    <t xml:space="preserve">"Vaak" vervangen door frequentie ("in 8 van de 10 gevallen" ipv "vaak")</t>
  </si>
  <si>
    <t xml:space="preserve">"Recent" vervangen door datum ("sinds januari 2025" ipv "recent")</t>
  </si>
  <si>
    <t xml:space="preserve">DEEL E: CONTEXTUAL FLOW (Documentstructuur)</t>
  </si>
  <si>
    <t xml:space="preserve">XI. CENTERPIECE TEXT (Eerste 400 tekens)</t>
  </si>
  <si>
    <t xml:space="preserve">CONTEXTUAL FLOW (Document</t>
  </si>
  <si>
    <t xml:space="preserve">CENTERPIECE TEXT (Eerste 400 t</t>
  </si>
  <si>
    <t xml:space="preserve">Eerste 400 tekens bevatten de kern: Central Entity + definitie + belangrijkste attributen</t>
  </si>
  <si>
    <t xml:space="preserve">Core entity/topic verschijnt in de eerste zin</t>
  </si>
  <si>
    <t xml:space="preserve">Primaire definitie of kernantwoord aanwezig in eerste 2 zinnen</t>
  </si>
  <si>
    <t xml:space="preserve">Sleutelattributen vermeld in eerste 400 tekens</t>
  </si>
  <si>
    <t xml:space="preserve">Geen afgekapte tekst, geen ellipsis (...) in de opening</t>
  </si>
  <si>
    <t xml:space="preserve">Geen share-knoppen, advertenties of auteursinformatie vóór de hoofdtekst</t>
  </si>
  <si>
    <t xml:space="preserve">Geen generieke inleiding ("Welkom bij...", "In dit artikel...", "Veel mensen vragen zich af...")</t>
  </si>
  <si>
    <t xml:space="preserve">Geen datums of metadata vóór de inhoudelijke tekst in de DOM</t>
  </si>
  <si>
    <t xml:space="preserve">XII. SUBORDINATE TEXT (Eerste zin na elke heading)</t>
  </si>
  <si>
    <t xml:space="preserve">SUBORDINATE TEXT (Eerste zin n</t>
  </si>
  <si>
    <t xml:space="preserve">Eerste zin na elke H2/H3 beantwoordt direct de heading</t>
  </si>
  <si>
    <t xml:space="preserve">"Wat is X?" → "X is..."</t>
  </si>
  <si>
    <t xml:space="preserve">"Wat zijn de voordelen?" → "De voordelen zijn/omvatten..."</t>
  </si>
  <si>
    <t xml:space="preserve">"Hoe werkt X?" → "X werkt door..." of "Volg deze stappen:"</t>
  </si>
  <si>
    <t xml:space="preserve">"Waarom X?" → "X gebeurt omdat..."</t>
  </si>
  <si>
    <t xml:space="preserve">"Wanneer moet je X?" → "Je moet X wanneer..."</t>
  </si>
  <si>
    <t xml:space="preserve">Eerste antwoordzin &lt;40 woorden of &lt;340 tekens (Featured Snippet target)</t>
  </si>
  <si>
    <t xml:space="preserve">Geen fluff-openingszinnen: "Voordat we dit bespreken...", "Zoals eerder vermeld..."</t>
  </si>
  <si>
    <t xml:space="preserve">Geen "In dit gedeelte bespreken we..." — direct het antwoord geven</t>
  </si>
  <si>
    <t xml:space="preserve">Bij statement-headings: eerste zin breidt de bewering uit met specifiek feit</t>
  </si>
  <si>
    <t xml:space="preserve">Bij topic-headings: eerste zin definieert het topic</t>
  </si>
  <si>
    <t xml:space="preserve">XIII. HEADING HIËRARCHIE &amp; CONTEXTUAL VECTOR</t>
  </si>
  <si>
    <t xml:space="preserve">HEADING HIËRARCHIE &amp; CONTEXTUA</t>
  </si>
  <si>
    <t xml:space="preserve">Precies één H1 per pagina</t>
  </si>
  <si>
    <t xml:space="preserve">H1 bevat de Central Entity of het hoofdonderwerp</t>
  </si>
  <si>
    <t xml:space="preserve">H1 is NIET identiek aan eerste H2</t>
  </si>
  <si>
    <t xml:space="preserve">H2's zijn directe subonderwerpen van het H1-thema</t>
  </si>
  <si>
    <t xml:space="preserve">H3's zijn subonderwerpen van hun bovenliggende H2</t>
  </si>
  <si>
    <t xml:space="preserve">H4's alleen gebruikt bij diepe specificatie-behoeften</t>
  </si>
  <si>
    <t xml:space="preserve">Geen headingniveaus overgeslagen (geen H2 → H4 zonder H3)</t>
  </si>
  <si>
    <t xml:space="preserve">Subheadings logisch genest onder hun parent</t>
  </si>
  <si>
    <t xml:space="preserve">Alle headings hebben id-attributen voor navigatie/jump links</t>
  </si>
  <si>
    <t xml:space="preserve">Headings bevatten de entiteit ("Voordelen van sedumdaken" niet alleen "Voordelen")</t>
  </si>
  <si>
    <t xml:space="preserve">Headings zijn specifiek ("Types D-Visum" niet "Verschillende types")</t>
  </si>
  <si>
    <t xml:space="preserve">Geen kale, contextloze headings ("Meer informatie", "Details", "Conclusie")</t>
  </si>
  <si>
    <t xml:space="preserve">Headings vormen een logische, incrementele progressie zonder onderbrekingen</t>
  </si>
  <si>
    <t xml:space="preserve">Geen off-topic headings die de contextual vector onderbreken</t>
  </si>
  <si>
    <t xml:space="preserve">Definitie komt vóór types, types vóór oorzaken, oorzaken vóór behandeling</t>
  </si>
  <si>
    <t xml:space="preserve">Stappen staan in volgorde (niet stap 3 vóór stap 1)</t>
  </si>
  <si>
    <t xml:space="preserve">Geschiedenis/achtergrond staat aan het einde, niet aan het begin (tenzij SC historisch is)</t>
  </si>
  <si>
    <t xml:space="preserve">XIV. DISCOURSE INTEGRATION (Alineaovergangen)</t>
  </si>
  <si>
    <t xml:space="preserve">DISCOURSE INTEGRATION (Alineao</t>
  </si>
  <si>
    <t xml:space="preserve">Laatste zin van elke sectie bevat een term die in de volgende sectie terugkomt (anchor segment)</t>
  </si>
  <si>
    <t xml:space="preserve">Alinea's beginnen niet met volledig onverwachte, ongeïntroduceerde concepten</t>
  </si>
  <si>
    <t xml:space="preserve">Sleutelwoorden herhaald op paragraafgrenzen voor vloeiende overgang (mutual phrases)</t>
  </si>
  <si>
    <t xml:space="preserve">Elke paragraaf is verbonden met de vorige — geen geïsoleerde tekstblokken</t>
  </si>
  <si>
    <t xml:space="preserve">XV. CONTEXTUAL BRIDGES</t>
  </si>
  <si>
    <t xml:space="preserve">CONTEXTUAL BRIDGES</t>
  </si>
  <si>
    <t xml:space="preserve">Bij overgang naar contextueel afgelegen onderwerp: bridge-sectie aanwezig</t>
  </si>
  <si>
    <t xml:space="preserve">Bridge verklaart waarom het nieuwe onderwerp relevant is voor het hoofdthema</t>
  </si>
  <si>
    <t xml:space="preserve">Bridge-formaat: H2/H3 met titel "Waarom [Micro Context] belangrijk is voor [Macro Context]"</t>
  </si>
  <si>
    <t xml:space="preserve">Bridge geplaatst aan het einde van de macro-contextsectie (niet aan het begin)</t>
  </si>
  <si>
    <t xml:space="preserve">Geen directe links naar verre onderwerpen in de openingsalinea zonder bridge</t>
  </si>
  <si>
    <t xml:space="preserve">XVI. INTRODUCTIE-ALIGNMENT</t>
  </si>
  <si>
    <t xml:space="preserve">INTRODUCTIE-ALIGNMENT</t>
  </si>
  <si>
    <t xml:space="preserve">Introductie bevat termen uit alle hoofdsecties (preview van de contextual vector)</t>
  </si>
  <si>
    <t xml:space="preserve">Introductie komt overeen met wat daadwerkelijk volgt (accurate preview)</t>
  </si>
  <si>
    <t xml:space="preserve">Two-pass writing: introductie herzien na afronden body-content</t>
  </si>
  <si>
    <t xml:space="preserve">DEEL F: INTERN LINKEN</t>
  </si>
  <si>
    <t xml:space="preserve">XVII. ANKERTEKST</t>
  </si>
  <si>
    <t xml:space="preserve">INTERN LINKEN</t>
  </si>
  <si>
    <t xml:space="preserve">ANKERTEKST</t>
  </si>
  <si>
    <t xml:space="preserve">Dezelfde exacte ankertekst max 3× per pagina in de hoofdcontent (Max 3x Rule)</t>
  </si>
  <si>
    <t xml:space="preserve">Bij 4+ links naar dezelfde pagina: synoniemen, woordvolgorde-variaties of hyponiemen gebruikt</t>
  </si>
  <si>
    <t xml:space="preserve">Ankertekst komt overeen met H1/title van doelpagina</t>
  </si>
  <si>
    <t xml:space="preserve">Geen generieke ankerteksten ("klik hier", "lees meer", "meer informatie") — minimaliseren</t>
  </si>
  <si>
    <t xml:space="preserve">Exact match ankertekst voor primaire keyword</t>
  </si>
  <si>
    <t xml:space="preserve">Partial match voor natuurlijke variaties ("het aanvragen van uw visum")</t>
  </si>
  <si>
    <t xml:space="preserve">Lexicale hiërarchie: hyperniemen (breder) hoger op de pagina, hyponiemen (specifieker) lager</t>
  </si>
  <si>
    <t xml:space="preserve">XVIII. LINKPLAATSING</t>
  </si>
  <si>
    <t xml:space="preserve">LINKPLAATSING</t>
  </si>
  <si>
    <t xml:space="preserve">Links geplaatst NÁ definitie van het concept (Definition-First Rule)</t>
  </si>
  <si>
    <t xml:space="preserve">Links niet in de allereerste zin of het allereerste woord van een alinea</t>
  </si>
  <si>
    <t xml:space="preserve">Links voornamelijk in de hoofdcontent, niet alleen in sidebar/footer/gerelateerde sectie</t>
  </si>
  <si>
    <t xml:space="preserve">Minimaal 5 interne links in de main content body bij content &gt;1.000 woorden</t>
  </si>
  <si>
    <t xml:space="preserve">Strategische plaatsing: belangrijkste doelpagina's krijgen links op prominent positions (niet onderaan begraven)</t>
  </si>
  <si>
    <t xml:space="preserve">XIX. ANNOTATIE-TEKST</t>
  </si>
  <si>
    <t xml:space="preserve">ANNOTATIE-TEKST</t>
  </si>
  <si>
    <t xml:space="preserve">Omringende tekst (1-2 zinnen vóór link) bespreekt het onderwerp van de doelpagina</t>
  </si>
  <si>
    <t xml:space="preserve">De entiteit van de doelpagina is genoemd in de buurt van de ankertekst</t>
  </si>
  <si>
    <t xml:space="preserve">Context bereidt de lezer voor op de gelinkte content</t>
  </si>
  <si>
    <t xml:space="preserve">Geen geïsoleerde links zonder context ("Voor meer informatie, klik hier")</t>
  </si>
  <si>
    <t xml:space="preserve">XX. LINKVOLUME &amp; PAGERANK FLOW</t>
  </si>
  <si>
    <t xml:space="preserve">LINKVOLUME &amp; PAGERANK FLOW</t>
  </si>
  <si>
    <t xml:space="preserve">Totaal aantal interne links per pagina &lt;150</t>
  </si>
  <si>
    <t xml:space="preserve">&gt;50% van links in de hoofdcontent (niet in boilerplate/nav/footer)</t>
  </si>
  <si>
    <t xml:space="preserve">Boilerplate-links (header/footer/sidebar) &lt;50% van totaal</t>
  </si>
  <si>
    <t xml:space="preserve">Author Section pagina's linken naar Core Section (AS → CS richting dominant)</t>
  </si>
  <si>
    <t xml:space="preserve">Core Section linkt spaarzaam naar Author Section (niet de PR wegsturen)</t>
  </si>
  <si>
    <t xml:space="preserve">Homepage ontvangt links van alle pagina's, linkt sterk naar Core Section</t>
  </si>
  <si>
    <t xml:space="preserve">Geen orphan pages (alle pagina's bereikbaar via minstens 1 interne link)</t>
  </si>
  <si>
    <t xml:space="preserve">Geen dead-end pages (elke pagina linkt naar minstens 1 andere pagina)</t>
  </si>
  <si>
    <t xml:space="preserve">XXI. NAVIGATIE &amp; DYNAMIEK</t>
  </si>
  <si>
    <t xml:space="preserve">NAVIGATIE &amp; DYNAMIEK</t>
  </si>
  <si>
    <t xml:space="preserve">Sidebar/navigatie is dynamisch — verandert per pagina op basis van context</t>
  </si>
  <si>
    <t xml:space="preserve">Geen mega-menus met 100+ links op elke pagina (PageRank-verdunning)</t>
  </si>
  <si>
    <t xml:space="preserve">Footer bevat alleen essentiële site-brede links, geen linkfarm</t>
  </si>
  <si>
    <t xml:space="preserve">CSI-predicaten in ankerteksten ("genereer rapporten" niet "klik hier")</t>
  </si>
  <si>
    <t xml:space="preserve">XXII. URL FRAGMENTEN &amp; JUMP LINKS</t>
  </si>
  <si>
    <t xml:space="preserve">URL FRAGMENTEN &amp; JUMP LINKS</t>
  </si>
  <si>
    <t xml:space="preserve">Table of Contents aanwezig bij lange artikelen (&gt;1.500 woorden)</t>
  </si>
  <si>
    <t xml:space="preserve">TOC-links verwijzen naar correcte heading-id's (#fragment)</t>
  </si>
  <si>
    <t xml:space="preserve">Alle H2/H3 headings hebben id-attributen</t>
  </si>
  <si>
    <t xml:space="preserve">H1 heeft een id-attribuut</t>
  </si>
  <si>
    <t xml:space="preserve">ID-namen zijn kort, beschrijvend, lowercase met koppeltekens</t>
  </si>
  <si>
    <t xml:space="preserve">DEEL G: SEMANTIC DISTANCE</t>
  </si>
  <si>
    <t xml:space="preserve">XXIII. THEMATISCHE AFSTAND</t>
  </si>
  <si>
    <t xml:space="preserve">SEMANTIC DISTANCE</t>
  </si>
  <si>
    <t xml:space="preserve">THEMATISCHE AFSTAND</t>
  </si>
  <si>
    <t xml:space="preserve">Alle behandelde subonderwerpen hebben lage semantische afstand tot de Central Entity</t>
  </si>
  <si>
    <t xml:space="preserve">Bij medium-afstand onderwerpen (0.3-0.5): aparte pagina's, bridge content aanwezig</t>
  </si>
  <si>
    <t xml:space="preserve">Geen directe links naar pagina's met hoge semantische afstand (&gt;0.7) zonder contextuele rechtvaardiging</t>
  </si>
  <si>
    <t xml:space="preserve">Interne links alleen tussen pagina's met lage semantische afstand (of via bridge)</t>
  </si>
  <si>
    <t xml:space="preserve">Geen topic-sprongen van &gt;5 "nodes" afstand in de topical graph zonder tussenstappen</t>
  </si>
  <si>
    <t xml:space="preserve">Cluster-validatie: alle pagina's in hetzelfde cluster hebben afstand &lt;0.5</t>
  </si>
  <si>
    <t xml:space="preserve">Bridge content verbindt aangrenzende clusters</t>
  </si>
  <si>
    <t xml:space="preserve">Geen orphan pages met hoge afstand van cluster</t>
  </si>
  <si>
    <t xml:space="preserve">Canonieke queries toegewezen aan één enkele pagina (geen dubbele targeting)</t>
  </si>
  <si>
    <t xml:space="preserve">DEEL H: CONTENT FORMAAT &amp; VISUELE SEMANTIEK</t>
  </si>
  <si>
    <t xml:space="preserve">XXIV. FORMAAT PER INTENTTYPE</t>
  </si>
  <si>
    <t xml:space="preserve">CONTENT FORMAAT &amp; VISUELE</t>
  </si>
  <si>
    <t xml:space="preserve">FORMAAT PER INTENTTYPE</t>
  </si>
  <si>
    <t xml:space="preserve">Definitiecontent: prose paragraph (&lt;p&gt;)</t>
  </si>
  <si>
    <t xml:space="preserve">How-to / processtappen: genummerde lijst (&lt;ol&gt;)</t>
  </si>
  <si>
    <t xml:space="preserve">Vergelijkingen (&gt;2 items, &gt;3 attributen): tabel (&lt;table&gt;)</t>
  </si>
  <si>
    <t xml:space="preserve">Specificaties: tabel of definitielijst (&lt;table&gt; of &lt;dl&gt;)</t>
  </si>
  <si>
    <t xml:space="preserve">Superlatieven/rankings: geordende lijst (&lt;ol&gt;)</t>
  </si>
  <si>
    <t xml:space="preserve">Niet-sequentiële opsommingen: ongeordende lijst (&lt;ul&gt;)</t>
  </si>
  <si>
    <t xml:space="preserve">XXV. LIJSTREGELS</t>
  </si>
  <si>
    <t xml:space="preserve">LIJSTREGELS</t>
  </si>
  <si>
    <t xml:space="preserve">Lijst-introzin aanwezig die het exacte aantal items vermeldt ("De 5 voordelen van...")</t>
  </si>
  <si>
    <t xml:space="preserve">Alle lijstitems beginnen op dezelfde manier (allemaal met werkwoord, of allemaal met zelfstandig naamwoord) — consistente opmaak</t>
  </si>
  <si>
    <t xml:space="preserve">Instructionele lijsten: elk item begint met actie-werkwoord</t>
  </si>
  <si>
    <t xml:space="preserve">Geordende lijsten alleen voor sequenties, rankings, stappen</t>
  </si>
  <si>
    <t xml:space="preserve">Ongeordende lijsten alleen voor niet-sequentiële items</t>
  </si>
  <si>
    <t xml:space="preserve">&lt;ol&gt; in HTML voor geordend, &lt;ul&gt; voor ongeordend — correcte tags</t>
  </si>
  <si>
    <t xml:space="preserve">XXVI. TABELREGELS</t>
  </si>
  <si>
    <t xml:space="preserve">TABELREGELS</t>
  </si>
  <si>
    <t xml:space="preserve">Duidelijke headers (&lt;th&gt;) aanwezig</t>
  </si>
  <si>
    <t xml:space="preserve">Consistente dataformattering in cellen</t>
  </si>
  <si>
    <t xml:space="preserve">Geen samengevoegde cellen (accessibility)</t>
  </si>
  <si>
    <t xml:space="preserve">Caption of titel aanwezig boven de tabel</t>
  </si>
  <si>
    <t xml:space="preserve">XXVII. VISUELE HIËRARCHIE</t>
  </si>
  <si>
    <t xml:space="preserve">VISUELE HIËRARCHIE</t>
  </si>
  <si>
    <t xml:space="preserve">Belangrijkste componenten groter/hoger op de pagina</t>
  </si>
  <si>
    <t xml:space="preserve">Commercieel intent: Product/dienst → Prijs → Reviews → Statistieken (LIFT model)</t>
  </si>
  <si>
    <t xml:space="preserve">Informationeel intent: Definitie → Uitleg → Voorbeelden → Referenties</t>
  </si>
  <si>
    <t xml:space="preserve">CTA/kerninformatie boven de fold bij commercieel intent</t>
  </si>
  <si>
    <t xml:space="preserve">Componenten geordend op gebruikersintent, niet op willekeur</t>
  </si>
  <si>
    <t xml:space="preserve">XXVIII. FEATURED SNIPPET OPTIMALISATIE</t>
  </si>
  <si>
    <t xml:space="preserve">FEATURED SNIPPET OPTIMALISATIE</t>
  </si>
  <si>
    <t xml:space="preserve">FS Paragraph target: &lt;340 tekens of &lt;40 woorden, direct antwoord, geen fluff</t>
  </si>
  <si>
    <t xml:space="preserve">FS Lijst target: 3-8 items met introzin + genummerde/ongenummerde lijst</t>
  </si>
  <si>
    <t xml:space="preserve">FS Tabel target: 3-5 zichtbare rijen met headers + kerndata</t>
  </si>
  <si>
    <t xml:space="preserve">Elke H2/H3 met vraagformaat is een potentieel FS target — subordinate text geoptimaliseerd</t>
  </si>
  <si>
    <t xml:space="preserve">IR Zone (eerste 400 tekens) bevat het kernantwoord voor de hoofd-query</t>
  </si>
  <si>
    <t xml:space="preserve">XXIX. GERELATEERDE CONTENT SECTIE</t>
  </si>
  <si>
    <t xml:space="preserve">GERELATEERDE CONTENT SECTIE</t>
  </si>
  <si>
    <t xml:space="preserve">Consistent formaat voor alle gerelateerde items (niet: sommige met beschrijving, andere zonder)</t>
  </si>
  <si>
    <t xml:space="preserve">Items zijn daadwerkelijk gerelateerd aan het hoofdonderwerp (lage semantische afstand)</t>
  </si>
  <si>
    <t xml:space="preserve">Gerelateerde links ondersteunen de contextual vector (niet random)</t>
  </si>
  <si>
    <t xml:space="preserve">DEEL I: HTML &amp; TECHNISCHE SEMANTIEK</t>
  </si>
  <si>
    <t xml:space="preserve">XXX. SEMANTISCHE HTML-TAGS</t>
  </si>
  <si>
    <t xml:space="preserve">HTML &amp; TECHNISCHE SEMANTI</t>
  </si>
  <si>
    <t xml:space="preserve">SEMANTISCHE HTML-TAGS</t>
  </si>
  <si>
    <t xml:space="preserve">&lt;article&gt; voor de zelfstandige hoofdcontent</t>
  </si>
  <si>
    <t xml:space="preserve">&lt;section&gt; voor thematische groepen binnen article</t>
  </si>
  <si>
    <t xml:space="preserve">&lt;aside&gt; voor zijdelingse/tangentiële content</t>
  </si>
  <si>
    <t xml:space="preserve">&lt;nav&gt; voor navigatie-elementen</t>
  </si>
  <si>
    <t xml:space="preserve">&lt;header&gt; voor introductie/header van pagina of sectie</t>
  </si>
  <si>
    <t xml:space="preserve">&lt;footer&gt; voor footer van pagina of sectie</t>
  </si>
  <si>
    <t xml:space="preserve">&lt;main&gt; slechts één keer per pagina</t>
  </si>
  <si>
    <t xml:space="preserve">Logische leesvolgorde voor screenreaders</t>
  </si>
  <si>
    <t xml:space="preserve">ARIA labels aanwezig waar nodig</t>
  </si>
  <si>
    <t xml:space="preserve">XXXI. HTML VALIDATIE &amp; NESTING</t>
  </si>
  <si>
    <t xml:space="preserve">HTML VALIDATIE &amp; NESTING</t>
  </si>
  <si>
    <t xml:space="preserve">Geen &lt;figure&gt; genest binnen &lt;p&gt; (browser forceert sluiting van &lt;p&gt;)</t>
  </si>
  <si>
    <t xml:space="preserve">Geen &lt;div&gt; of andere block-level elementen binnen &lt;p&gt;</t>
  </si>
  <si>
    <t xml:space="preserve">Geen &lt;strong&gt; of &lt;b&gt; als pseudo-heading — gebruik echte heading-tags</t>
  </si>
  <si>
    <t xml:space="preserve">Geen kale tekstnodes direct in &lt;section&gt; zonder &lt;p&gt;-wrapper</t>
  </si>
  <si>
    <t xml:space="preserve">Geen lege elementen (&lt;div&gt;&lt;/div&gt;, &lt;p&gt;&lt;/p&gt;, &lt;span&gt;&lt;/span&gt;)</t>
  </si>
  <si>
    <t xml:space="preserve">HTML valideert zonder fouten (W3C Validator)</t>
  </si>
  <si>
    <t xml:space="preserve">Geen HTML-comments in productie-code</t>
  </si>
  <si>
    <t xml:space="preserve">Maximale DOM nestdiepte &lt;32 niveaus</t>
  </si>
  <si>
    <t xml:space="preserve">Maximaal 60 children per node — vermijd extreem platte structuren</t>
  </si>
  <si>
    <t xml:space="preserve">XXXII. HEADING-INTEGRITEIT (HTML)</t>
  </si>
  <si>
    <t xml:space="preserve">HEADING-INTEGRITEIT (HTML)</t>
  </si>
  <si>
    <t xml:space="preserve">Precies één &lt;h1&gt; tag in de HTML</t>
  </si>
  <si>
    <t xml:space="preserve">Heading-hiërarchie niet gebroken in HTML (geen &lt;h2&gt; → &lt;h4&gt; sprong)</t>
  </si>
  <si>
    <t xml:space="preserve">Alle headings zijn echte heading-tags, niet gestylede &lt;div&gt; of &lt;p&gt;</t>
  </si>
  <si>
    <t xml:space="preserve">Alle heading-tags hebben id-attributen</t>
  </si>
  <si>
    <t xml:space="preserve">XXXIII. AFBEELDINGEN</t>
  </si>
  <si>
    <t xml:space="preserve">AFBEELDINGEN</t>
  </si>
  <si>
    <t xml:space="preserve">Echte &lt;img&gt; elementen met werkende src (geen placeholders zonder afbeelding)</t>
  </si>
  <si>
    <t xml:space="preserve">Alt-tekst aanwezig op alle afbeeldingen</t>
  </si>
  <si>
    <t xml:space="preserve">Alt-tekst gevarieerd per afbeelding — breidt topicaliteit uit voorbij H1</t>
  </si>
  <si>
    <t xml:space="preserve">Alt-tekst beschrijft de inhoud van de afbeelding</t>
  </si>
  <si>
    <t xml:space="preserve">Geen identieke alt-tekst op meerdere afbeeldingen</t>
  </si>
  <si>
    <t xml:space="preserve">Bestandsnamen kort en beschrijvend: max 3 woorden, geen stopwoorden</t>
  </si>
  <si>
    <t xml:space="preserve">Expliciete width/height attributen op alle afbeeldingen (CLS-preventie)</t>
  </si>
  <si>
    <t xml:space="preserve">Afbeeldingen in modern formaat (WebP of AVIF)</t>
  </si>
  <si>
    <t xml:space="preserve">EXIF/IPTC metadata: eigenaar, licentie, beschrijving</t>
  </si>
  <si>
    <t xml:space="preserve">Afbeeldingen zijn uniek — geen duplicate stock photos van andere sites</t>
  </si>
  <si>
    <t xml:space="preserve">Afbeeldingen bevatten branding waar passend</t>
  </si>
  <si>
    <t xml:space="preserve">Informatieve afbeeldingen: infographics bevatten data/definities, niet alleen decoratie</t>
  </si>
  <si>
    <t xml:space="preserve">Afbeeldings-URL geoptimaliseerd: kort, max 3 woorden, geen stopwoorden</t>
  </si>
  <si>
    <t xml:space="preserve">DEEL J: META &amp; STRUCTURED DATA</t>
  </si>
  <si>
    <t xml:space="preserve">XXXIV. META-TAGS</t>
  </si>
  <si>
    <t xml:space="preserve">META &amp; STRUCTURED DATA</t>
  </si>
  <si>
    <t xml:space="preserve">META-TAGS</t>
  </si>
  <si>
    <t xml:space="preserve">&lt;title&gt; bevat target keyword + onderscheidende waarde, uniek per pagina</t>
  </si>
  <si>
    <t xml:space="preserve">Title Query Coverage: % van ranking queries in Title Tag zo hoog mogelijk</t>
  </si>
  <si>
    <t xml:space="preserve">&lt;meta name="description"&gt; uniek, bevat Central Entity + CTA/waardepropositie</t>
  </si>
  <si>
    <t xml:space="preserve">&lt;link rel="canonical"&gt; aanwezig — zelf-referencing of correct doelwit</t>
  </si>
  <si>
    <t xml:space="preserve">Geen canonical chains (A → B → C) — direct naar het eindpunt</t>
  </si>
  <si>
    <t xml:space="preserve">Canonical consistent met indexeringssignalen (geen canonical + noindex conflict)</t>
  </si>
  <si>
    <t xml:space="preserve">Open Graph tags: og:title, og:description, og:image, og:url, og:type</t>
  </si>
  <si>
    <t xml:space="preserve">Twitter Card tags aanwezig</t>
  </si>
  <si>
    <t xml:space="preserve">&lt;html lang="xx"&gt; correct ingesteld voor de taal van de content</t>
  </si>
  <si>
    <t xml:space="preserve">Hreflang tags bij meertalige content</t>
  </si>
  <si>
    <t xml:space="preserve">Viewport meta tag aanwezig (&lt;meta name="viewport"&gt;)</t>
  </si>
  <si>
    <t xml:space="preserve">XXXV. STRUCTURED DATA (JSON-LD)</t>
  </si>
  <si>
    <t xml:space="preserve">STRUCTURED DATA (JSON-LD)</t>
  </si>
  <si>
    <t xml:space="preserve">Schema.org type passend bij content (Article, LocalBusiness, Product, FAQ, HowTo, Service, etc.)</t>
  </si>
  <si>
    <t xml:space="preserve">Alle relevante EAV-informatie opgenomen in schema properties</t>
  </si>
  <si>
    <t xml:space="preserve">Author-informatie in schema: name, url, sameAs</t>
  </si>
  <si>
    <t xml:space="preserve">datePublished en dateModified aanwezig en accuraat</t>
  </si>
  <si>
    <t xml:space="preserve">Afbeelding-URL in schema komt overeen met zichtbare LCP-afbeelding</t>
  </si>
  <si>
    <t xml:space="preserve">Schema valideert zonder fouten (Google Rich Results Test)</t>
  </si>
  <si>
    <t xml:space="preserve">Schema valideert zonder waarschuwingen</t>
  </si>
  <si>
    <t xml:space="preserve">FAQ-schema bij Q&amp;A-secties (indien aanwezig)</t>
  </si>
  <si>
    <t xml:space="preserve">HowTo-schema bij stapsgewijze instructies (indien aanwezig)</t>
  </si>
  <si>
    <t xml:space="preserve">Bij dienstverleners: LocalBusiness of Service schema met serviceArea, areaServed</t>
  </si>
  <si>
    <t xml:space="preserve">Bij reviews: Review schema met structured data</t>
  </si>
  <si>
    <t xml:space="preserve">Bij awards/certificeringen: schema markup + zichtbare weergave</t>
  </si>
  <si>
    <t xml:space="preserve">Last-Modified HTTP header komt overeen met dateModified in schema</t>
  </si>
  <si>
    <t xml:space="preserve">DEEL K: COST OF RETRIEVAL — TECHNISCHE EFFICIËNTIE</t>
  </si>
  <si>
    <t xml:space="preserve">XXXVI. DOM &amp; CODE</t>
  </si>
  <si>
    <t xml:space="preserve">COST OF RETRIEVAL — TECHN</t>
  </si>
  <si>
    <t xml:space="preserve">DOM &amp; CODE</t>
  </si>
  <si>
    <t xml:space="preserve">Totaal DOM-nodes &lt;1.500</t>
  </si>
  <si>
    <t xml:space="preserve">Maximaal 60 children per enkel DOM-element</t>
  </si>
  <si>
    <t xml:space="preserve">HTML-bestandsgrootte &lt;100KB</t>
  </si>
  <si>
    <t xml:space="preserve">Text-to-code ratio &gt;50%</t>
  </si>
  <si>
    <t xml:space="preserve">Geen ongebruikte CSS (&gt;50% unused = tree shaking nodig)</t>
  </si>
  <si>
    <t xml:space="preserve">Geen ongebruikte JavaScript (dead code verwijderen of lazy loaden)</t>
  </si>
  <si>
    <t xml:space="preserve">Geen inline styles die als CSS geconsolideerd kunnen worden</t>
  </si>
  <si>
    <t xml:space="preserve">HTML geminificeerd in productie</t>
  </si>
  <si>
    <t xml:space="preserve">Inline JavaScript verplaatst naar externe bestanden</t>
  </si>
  <si>
    <t xml:space="preserve">CSS geëxternaliseerd (niet inline in HTML)</t>
  </si>
  <si>
    <t xml:space="preserve">CSS classes geconsolideerd (geen redundante class-definities)</t>
  </si>
  <si>
    <t xml:space="preserve">XXXVII. SERVER &amp; PERFORMANCE</t>
  </si>
  <si>
    <t xml:space="preserve">SERVER &amp; PERFORMANCE</t>
  </si>
  <si>
    <t xml:space="preserve">Server response time (TTFB) &lt;100ms</t>
  </si>
  <si>
    <t xml:space="preserve">DNS lookup &lt;50ms</t>
  </si>
  <si>
    <t xml:space="preserve">SSL/TLS handshake &lt;100ms</t>
  </si>
  <si>
    <t xml:space="preserve">Server processing (backend) &lt;50ms</t>
  </si>
  <si>
    <t xml:space="preserve">Gzip of Brotli compressie actief voor text resources</t>
  </si>
  <si>
    <t xml:space="preserve">Brotli geprefereerd boven Gzip (betere compressie)</t>
  </si>
  <si>
    <t xml:space="preserve">CDN actief voor global distribution</t>
  </si>
  <si>
    <t xml:space="preserve">XXXVIII. CACHING</t>
  </si>
  <si>
    <t xml:space="preserve">CACHING</t>
  </si>
  <si>
    <t xml:space="preserve">HTML (dynamisch): korte cache of no-cache (max-age=0)</t>
  </si>
  <si>
    <t xml:space="preserve">CSS/JS (versioned): lange cache (max-age=31536000, 1 jaar)</t>
  </si>
  <si>
    <t xml:space="preserve">Afbeeldingen (statisch): lange cache (max-age=31536000, 1 jaar)</t>
  </si>
  <si>
    <t xml:space="preserve">Fonts: lange cache (max-age=31536000, 1 jaar)</t>
  </si>
  <si>
    <t xml:space="preserve">XXXIX. HTTP HEADERS</t>
  </si>
  <si>
    <t xml:space="preserve">HTTP HEADERS</t>
  </si>
  <si>
    <t xml:space="preserve">Link: rel="canonical" HTTP header voor non-HTML resources (PDFs, afbeeldingen)</t>
  </si>
  <si>
    <t xml:space="preserve">Vary: User-Agent bij dynamic serving (als verschillende content per device)</t>
  </si>
  <si>
    <t xml:space="preserve">Last-Modified header aanwezig en accuraat</t>
  </si>
  <si>
    <t xml:space="preserve">HSTS header actief (force HTTPS, vermindert redirect hops)</t>
  </si>
  <si>
    <t xml:space="preserve">X-Robots-Tag correct bij programmatische indexeringscontrole</t>
  </si>
  <si>
    <t xml:space="preserve">XL. CORE WEB VITALS</t>
  </si>
  <si>
    <t xml:space="preserve">CORE WEB VITALS</t>
  </si>
  <si>
    <t xml:space="preserve">LCP &lt;2,5 seconden</t>
  </si>
  <si>
    <t xml:space="preserve">Hero images geoptimaliseerd (WebP/AVIF)</t>
  </si>
  <si>
    <t xml:space="preserve">Kritieke resources ge-preloaded</t>
  </si>
  <si>
    <t xml:space="preserve">Render-blocking JS/CSS verwijderd of uitgesteld</t>
  </si>
  <si>
    <t xml:space="preserve">FID/INP &lt;100ms</t>
  </si>
  <si>
    <t xml:space="preserve">Lange JavaScript-taken opgesplitst</t>
  </si>
  <si>
    <t xml:space="preserve">Niet-kritieke JS uitgesteld (defer/async)</t>
  </si>
  <si>
    <t xml:space="preserve">Main thread werk geminimaliseerd</t>
  </si>
  <si>
    <t xml:space="preserve">CLS &lt;0,1</t>
  </si>
  <si>
    <t xml:space="preserve">Expliciete dimensies voor alle images</t>
  </si>
  <si>
    <t xml:space="preserve">Expliciete dimensies voor video/iframe</t>
  </si>
  <si>
    <t xml:space="preserve">Ruimte gereserveerd voor advertenties</t>
  </si>
  <si>
    <t xml:space="preserve">Geen dynamisch ingevoegde content boven bestaande content</t>
  </si>
  <si>
    <t xml:space="preserve">Transform-animaties gebruikt (geen layout-animaties)</t>
  </si>
  <si>
    <t xml:space="preserve">XLI. HTTP REQUESTS</t>
  </si>
  <si>
    <t xml:space="preserve">HTTP REQUESTS</t>
  </si>
  <si>
    <t xml:space="preserve">HTTP-requests per pagina &lt;50</t>
  </si>
  <si>
    <t xml:space="preserve">Afbeeldingen lazy-loaded waar niet boven de fold</t>
  </si>
  <si>
    <t xml:space="preserve">DEEL L: URL-STRUCTUUR &amp; ARCHITECTUUR</t>
  </si>
  <si>
    <t xml:space="preserve">XLII. URL-REGELS</t>
  </si>
  <si>
    <t xml:space="preserve">URL-STRUCTUUR &amp; ARCHITECT</t>
  </si>
  <si>
    <t xml:space="preserve">URL-REGELS</t>
  </si>
  <si>
    <t xml:space="preserve">URL kort en beschrijvend (&lt;75 tekens)</t>
  </si>
  <si>
    <t xml:space="preserve">URL hiërarchisch (/categorie/subcategorie/pagina)</t>
  </si>
  <si>
    <t xml:space="preserve">Alleen kleine letters</t>
  </si>
  <si>
    <t xml:space="preserve">Alleen koppeltekens als woordscheider (geen underscores)</t>
  </si>
  <si>
    <t xml:space="preserve">Geen sessie-ID's in URL</t>
  </si>
  <si>
    <t xml:space="preserve">Geen onnodige parameters of speciale tekens</t>
  </si>
  <si>
    <t xml:space="preserve">Trailing slash-beleid consistent over hele site</t>
  </si>
  <si>
    <t xml:space="preserve">Geen redundante woorden (/duitsland/duitsland-visum/ → /duitsland/visum/)</t>
  </si>
  <si>
    <t xml:space="preserve">URL bevat target keyword (maar niet keyword-stuffed)</t>
  </si>
  <si>
    <t xml:space="preserve">URL-structuur weerspiegelt de content-hiërarchie</t>
  </si>
  <si>
    <t xml:space="preserve">XLIII. CANONICALISATIE</t>
  </si>
  <si>
    <t xml:space="preserve">CANONICALISATIE</t>
  </si>
  <si>
    <t xml:space="preserve">Self-referencing canonical op alle indexeerbare pagina's</t>
  </si>
  <si>
    <t xml:space="preserve">Canonical wijst niet naar een niet-bestaande pagina</t>
  </si>
  <si>
    <t xml:space="preserve">Geen canonical chains (A → B → C) — direct naar eindpunt</t>
  </si>
  <si>
    <t xml:space="preserve">Canonical consistent met andere signalen (geen canonical + noindex conflict)</t>
  </si>
  <si>
    <t xml:space="preserve">Bij cross-domain canonical: intentie geverifieerd</t>
  </si>
  <si>
    <t xml:space="preserve">Canonical op WWW vs non-WWW consistent</t>
  </si>
  <si>
    <t xml:space="preserve">Canonical op HTTP vs HTTPS consistent (altijd HTTPS)</t>
  </si>
  <si>
    <t xml:space="preserve">XLIV. CRAWL EFFICIËNTIE</t>
  </si>
  <si>
    <t xml:space="preserve">CRAWL EFFICIËNTIE</t>
  </si>
  <si>
    <t xml:space="preserve">HTML hit ratio &gt;80% (meeste crawl-hits op content, niet op assets)</t>
  </si>
  <si>
    <t xml:space="preserve">Bot response time &lt;100ms</t>
  </si>
  <si>
    <t xml:space="preserve">Error rate 0% (geen 4xx/5xx errors voor Googlebot)</t>
  </si>
  <si>
    <t xml:space="preserve">Crawl depth &lt;4 clicks voor belangrijke content</t>
  </si>
  <si>
    <t xml:space="preserve">Crawl frequency stabiel of stijgend (geen dalende trend)</t>
  </si>
  <si>
    <t xml:space="preserve">Geen 5xx server errors</t>
  </si>
  <si>
    <t xml:space="preserve">Geen actieve 404's voor pagina's die in sitemap staan</t>
  </si>
  <si>
    <t xml:space="preserve">410 (Gone) gebruikt voor permanent verwijderde pagina's (niet 404)</t>
  </si>
  <si>
    <t xml:space="preserve">301 gebruikt voor permanente redirects (niet 302)</t>
  </si>
  <si>
    <t xml:space="preserve">Geen redirect chains langer dan 1 hop (A → B, niet A → B → C → D)</t>
  </si>
  <si>
    <t xml:space="preserve">Geen redirect loops</t>
  </si>
  <si>
    <t xml:space="preserve">Interne links bijgewerkt naar finale URL's (niet via redirect)</t>
  </si>
  <si>
    <t xml:space="preserve">Geen filter-URL-explosie (miljoenen parameter-URL's bij faceted navigation)</t>
  </si>
  <si>
    <t xml:space="preserve">Dunne content-pagina's noindex of geconsolideerd</t>
  </si>
  <si>
    <t xml:space="preserve">Duplicate content vermeden via canonical tags</t>
  </si>
  <si>
    <t xml:space="preserve">XLV. INDEXATIE</t>
  </si>
  <si>
    <t xml:space="preserve">INDEXATIE</t>
  </si>
  <si>
    <t xml:space="preserve">Pagina niet "Crawled - currently not indexed" in GSC</t>
  </si>
  <si>
    <t xml:space="preserve">Pagina niet "Discovered - currently not indexed" in GSC</t>
  </si>
  <si>
    <t xml:space="preserve">Indexatie-ratio &gt;90% van ingediende pagina's</t>
  </si>
  <si>
    <t xml:space="preserve">Pagina niet geblokkeerd door robots.txt (als indexering gewenst is)</t>
  </si>
  <si>
    <t xml:space="preserve">Pagina niet noindex (als indexering gewenst is)</t>
  </si>
  <si>
    <t xml:space="preserve">Geen conflict tussen robots.txt blokkade en sitemap-inclusie</t>
  </si>
  <si>
    <t xml:space="preserve">Pagina opgenomen in XML sitemap</t>
  </si>
  <si>
    <t xml:space="preserve">XML sitemap bevat alleen indexeerbare pagina's (geen noindex, 404, geblokkeerde pagina's)</t>
  </si>
  <si>
    <t xml:space="preserve">XML sitemap bijgewerkt met actuele content</t>
  </si>
  <si>
    <t xml:space="preserve">XML sitemap &lt;50MB en &lt;50.000 URL's per bestand</t>
  </si>
  <si>
    <t xml:space="preserve">XML sitemap ingediend bij Search Console</t>
  </si>
  <si>
    <t xml:space="preserve">lastmod in sitemap komt overeen met daadwerkelijke wijzigingsdatum</t>
  </si>
  <si>
    <t xml:space="preserve">DEEL M: CROSS-PAGE &amp; NETWERK CONSISTENTIE</t>
  </si>
  <si>
    <t xml:space="preserve">XLVI. WEBSITE-BREDE REGELS</t>
  </si>
  <si>
    <t xml:space="preserve">CROSS-PAGE &amp; NETWERK CONS</t>
  </si>
  <si>
    <t xml:space="preserve">WEBSITE-BREDE REGELS</t>
  </si>
  <si>
    <t xml:space="preserve">Central Entity verschijnt in boilerplate (header/footer/nav)</t>
  </si>
  <si>
    <t xml:space="preserve">Central Entity vormt site-brede N-grams</t>
  </si>
  <si>
    <t xml:space="preserve">Eén Central Entity per website (niet per pagina)</t>
  </si>
  <si>
    <t xml:space="preserve">Dezelfde entiteit heeft overal dezelfde attribuutwaarden</t>
  </si>
  <si>
    <t xml:space="preserve">Geen conflicterende definities van dezelfde term op verschillende pagina's</t>
  </si>
  <si>
    <t xml:space="preserve">Naamgeving consistent: als merknaam op ene pagina "MVGM" is, niet "M.V.G.M." op andere pagina</t>
  </si>
  <si>
    <t xml:space="preserve">Zelfde type pagina's gebruiken dezelfde template/heading-structuur</t>
  </si>
  <si>
    <t xml:space="preserve">Alle productpagina's hebben dezelfde H2-volgorde</t>
  </si>
  <si>
    <t xml:space="preserve">Alle dienstpagina's hebben dezelfde structuur</t>
  </si>
  <si>
    <t xml:space="preserve">Core Section gepubliceerd vóór Author Section (historische data-prioriteit)</t>
  </si>
  <si>
    <t xml:space="preserve">Linkrichting volgt prioriteit: AS → CS dominant</t>
  </si>
  <si>
    <t xml:space="preserve">Alle segmenten verbonden terug naar het hoofdonderwerp (contextual loop closure)</t>
  </si>
  <si>
    <t xml:space="preserve">Geen orphan pages (alle pagina's bereikbaar via links)</t>
  </si>
  <si>
    <t xml:space="preserve">Geen dead-end pages (alle pagina's linken naar minstens 1 andere)</t>
  </si>
  <si>
    <t xml:space="preserve">Canonieke queries toegewezen aan één enkele pagina</t>
  </si>
  <si>
    <t xml:space="preserve">Hub-Spoke ratio ~1:7 per cluster</t>
  </si>
  <si>
    <t xml:space="preserve">Hub-pagina behandelt het parent-topic uitgebreid (niet slechts navigatie/index)</t>
  </si>
  <si>
    <t xml:space="preserve">Spokes breiden elk één major attribuut/subonderwerp uit (dupliceren geen hub-content)</t>
  </si>
  <si>
    <t xml:space="preserve">Spokes linken omhoog naar hub, hub linkt omlaag naar spokes</t>
  </si>
  <si>
    <t xml:space="preserve">Geen random cross-linking tussen onverbonden spokes zonder hub-connectie</t>
  </si>
  <si>
    <t xml:space="preserve">DEEL N: WEBSITE-TYPE SPECIFIEKE REGELS</t>
  </si>
  <si>
    <t xml:space="preserve">XLVII. E-COMMERCE SPECIFIEK</t>
  </si>
  <si>
    <t xml:space="preserve">WEBSITE-TYPE SPECIFIEKE R</t>
  </si>
  <si>
    <t xml:space="preserve">E-COMMERCE SPECIFIEK</t>
  </si>
  <si>
    <t xml:space="preserve">Productspecificaties in tabellen</t>
  </si>
  <si>
    <t xml:space="preserve">Meerdere review-types: merk-review, expert-review, klant-review</t>
  </si>
  <si>
    <t xml:space="preserve">Transactie-elementen boven de fold</t>
  </si>
  <si>
    <t xml:space="preserve">Categoriepagina's hebben prose-introductie (niet alleen productlijst)</t>
  </si>
  <si>
    <t xml:space="preserve">Filter-combinaties gelimiteerd (geen miljoenen facet-URL's)</t>
  </si>
  <si>
    <t xml:space="preserve">Producten linken naar materiaal/merk-pagina's (ontologie-gebaseerd)</t>
  </si>
  <si>
    <t xml:space="preserve">Koopgidsen linken naar producten</t>
  </si>
  <si>
    <t xml:space="preserve">LIFT Model: Buy → Compare → Reviews → Statistics volgorde</t>
  </si>
  <si>
    <t xml:space="preserve">Social proof: merk-review + expert-review + klant-review</t>
  </si>
  <si>
    <t xml:space="preserve">XLVIII. SAAS SPECIFIEK</t>
  </si>
  <si>
    <t xml:space="preserve">SAAS SPECIFIEK</t>
  </si>
  <si>
    <t xml:space="preserve">Product verbonden met gebruikers-zoekgedrag (user needs mapping)</t>
  </si>
  <si>
    <t xml:space="preserve">Features gelinkt aan use cases</t>
  </si>
  <si>
    <t xml:space="preserve">Homepage ontvangt de meeste interne links</t>
  </si>
  <si>
    <t xml:space="preserve">CSI-predicaten in ankerteksten (niet "klik hier")</t>
  </si>
  <si>
    <t xml:space="preserve">Concurrent-attributen geanalyseerd en gaps gevuld</t>
  </si>
  <si>
    <t xml:space="preserve">Templates flexibel per feature-type</t>
  </si>
  <si>
    <t xml:space="preserve">Free trial/demo prominent geplaatst</t>
  </si>
  <si>
    <t xml:space="preserve">XLIX. B2B DIENSTVERLENER SPECIFIEK</t>
  </si>
  <si>
    <t xml:space="preserve">B2B DIENSTVERLENER SPECIFIEK</t>
  </si>
  <si>
    <t xml:space="preserve">Expert-auteurs met credentials</t>
  </si>
  <si>
    <t xml:space="preserve">Origineel onderzoek/statistieken aanwezig</t>
  </si>
  <si>
    <t xml:space="preserve">Meerdere perspectieven behandeld (gebruiker, expert, toezichthouder)</t>
  </si>
  <si>
    <t xml:space="preserve">Methodologie gedocumenteerd</t>
  </si>
  <si>
    <t xml:space="preserve">Licenties/awards weergegeven met schema markup</t>
  </si>
  <si>
    <t xml:space="preserve">Case studies met meetbare resultaten</t>
  </si>
  <si>
    <t xml:space="preserve">Servicepagina's linken naar expertise-content</t>
  </si>
  <si>
    <t xml:space="preserve">Wetenschappelijke stijl: objectieve taal, citaties</t>
  </si>
  <si>
    <t xml:space="preserve">Conditionele taal: "Afhankelijk van...", "In gevallen waar..."</t>
  </si>
  <si>
    <t xml:space="preserve">L. BLOG/INFORMATIE SPECIFIEK</t>
  </si>
  <si>
    <t xml:space="preserve">BLOG/INFORMATIE SPECIFIEK</t>
  </si>
  <si>
    <t xml:space="preserve">Alle pagina's hebben query-vraag (geen pagina's zonder zoekvraag)</t>
  </si>
  <si>
    <t xml:space="preserve">Author Section linkt naar Core Section</t>
  </si>
  <si>
    <t xml:space="preserve">Geen orphan pages</t>
  </si>
  <si>
    <t xml:space="preserve">Unieke informatie aanwezig die concurrenten niet bieden (Information Gain)</t>
  </si>
  <si>
    <t xml:space="preserve">Bridge topics verbinden clusters</t>
  </si>
  <si>
    <t xml:space="preserve">Consistente templates per contenttype (listicle, how-to, definitie, vergelijking)</t>
  </si>
  <si>
    <t xml:space="preserve">Auteur-vector onderscheidend (eigen stijl, eigen N-grams)</t>
  </si>
  <si>
    <t xml:space="preserve">Unieke N-grams die specifiek voor deze site zijn</t>
  </si>
  <si>
    <t xml:space="preserve">DEEL O: MONITORING &amp; ONGOING</t>
  </si>
  <si>
    <t xml:space="preserve">LI. MONITORING REGELS</t>
  </si>
  <si>
    <t xml:space="preserve">MONITORING &amp; ONGOING</t>
  </si>
  <si>
    <t xml:space="preserve">MONITORING REGELS</t>
  </si>
  <si>
    <t xml:space="preserve">Wekelijkse log file analyse gepland</t>
  </si>
  <si>
    <t xml:space="preserve">Maandelijkse GSC review gepland</t>
  </si>
  <si>
    <t xml:space="preserve">Kwartaal volledige audit gepland</t>
  </si>
  <si>
    <t xml:space="preserve">Indexatie-trends getracked (stijgend, stabiel, dalend)</t>
  </si>
  <si>
    <t xml:space="preserve">Publicatiemomentum voldoende — regelmatige updates, niet sporadisch</t>
  </si>
  <si>
    <t xml:space="preserve">  → Definitioneel: Wat → Waarom → Hoe → Wanneer</t>
  </si>
  <si>
    <t xml:space="preserve">  → Proces: Stap 1 → Stap 2 → Stap 3</t>
  </si>
  <si>
    <t xml:space="preserve">  → Analytisch: Probleem → Oorzaken → Oplossingen</t>
  </si>
  <si>
    <t xml:space="preserve">  → Vergelijkend: Optie A → Optie B → Conclusie</t>
  </si>
  <si>
    <t xml:space="preserve">SCORE SAMENVATTING</t>
  </si>
  <si>
    <t xml:space="preserve">Totaal regels</t>
  </si>
  <si>
    <t xml:space="preserve">✅ Pass</t>
  </si>
  <si>
    <t xml:space="preserve">❌ Fail</t>
  </si>
  <si>
    <t xml:space="preserve">➖ N.v.t.</t>
  </si>
  <si>
    <t xml:space="preserve">Nog te beoordelen</t>
  </si>
  <si>
    <t xml:space="preserve">Score (%)</t>
  </si>
  <si>
    <t xml:space="preserve">P0 Blockers (❌)</t>
  </si>
  <si>
    <t xml:space="preserve">P1 Kritiek (❌)</t>
  </si>
  <si>
    <t xml:space="preserve">P2 Hoog (❌)</t>
  </si>
  <si>
    <t xml:space="preserve">P3 Medium (❌)</t>
  </si>
  <si>
    <t xml:space="preserve">P4 Laag (❌)</t>
  </si>
  <si>
    <t xml:space="preserve">LEGENDA &amp; GEBRUIKSAANWIJZING</t>
  </si>
  <si>
    <t xml:space="preserve">STATUS</t>
  </si>
  <si>
    <t xml:space="preserve">✅</t>
  </si>
  <si>
    <t xml:space="preserve">Regel correct toegepast</t>
  </si>
  <si>
    <t xml:space="preserve">❌</t>
  </si>
  <si>
    <t xml:space="preserve">Overtreding gevonden — actie nodig</t>
  </si>
  <si>
    <t xml:space="preserve">➖</t>
  </si>
  <si>
    <t xml:space="preserve">Niet van toepassing op dit contenttype</t>
  </si>
  <si>
    <t xml:space="preserve">PRIORITEIT</t>
  </si>
  <si>
    <t xml:space="preserve">P0 — Blocker</t>
  </si>
  <si>
    <t xml:space="preserve">Publicatie blokkeren totdat opgelost</t>
  </si>
  <si>
    <t xml:space="preserve">P1 — Kritiek</t>
  </si>
  <si>
    <t xml:space="preserve">Fixen vóór publicatie</t>
  </si>
  <si>
    <t xml:space="preserve">P2 — Hoog</t>
  </si>
  <si>
    <t xml:space="preserve">Fixen binnen 1 week na publicatie</t>
  </si>
  <si>
    <t xml:space="preserve">P3 — Medium</t>
  </si>
  <si>
    <t xml:space="preserve">Fixen binnen 1 maand</t>
  </si>
  <si>
    <t xml:space="preserve">P4 — Laag</t>
  </si>
  <si>
    <t xml:space="preserve">Volgende sprint / nice-to-have</t>
  </si>
  <si>
    <t xml:space="preserve">SCORE</t>
  </si>
  <si>
    <t xml:space="preserve">90-100%</t>
  </si>
  <si>
    <t xml:space="preserve">Excellent — publiceren</t>
  </si>
  <si>
    <t xml:space="preserve">85-89%</t>
  </si>
  <si>
    <t xml:space="preserve">Goed — minor fixes, dan publiceren</t>
  </si>
  <si>
    <t xml:space="preserve">70-84%</t>
  </si>
  <si>
    <t xml:space="preserve">Verbetering nodig — significante revisie</t>
  </si>
  <si>
    <t xml:space="preserve">&lt;70%</t>
  </si>
  <si>
    <t xml:space="preserve">Grote revisie — niet publiceren</t>
  </si>
  <si>
    <t xml:space="preserve">PUBLICATIE-BESLISSING</t>
  </si>
  <si>
    <t xml:space="preserve">0 P0 ❌</t>
  </si>
  <si>
    <t xml:space="preserve">Geen blockers → mag gepubliceerd worden</t>
  </si>
  <si>
    <t xml:space="preserve">≥1 P0 ❌</t>
  </si>
  <si>
    <t xml:space="preserve">Blocker(s) aanwezig → NIET publiceren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</si>
</sst>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B0C4DE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2E5090"/>
      <name val="Arial"/>
      <family val="0"/>
      <charset val="1"/>
    </font>
    <font>
      <sz val="10"/>
      <color rgb="FF98A2B3"/>
      <name val="Arial"/>
      <family val="0"/>
      <charset val="1"/>
    </font>
    <font>
      <sz val="9"/>
      <color rgb="FF667085"/>
      <name val="Arial"/>
      <family val="0"/>
      <charset val="1"/>
    </font>
    <font>
      <sz val="10"/>
      <color rgb="FF1D293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4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7D3C98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344054"/>
      <name val="Arial"/>
      <family val="0"/>
      <charset val="1"/>
    </font>
    <font>
      <b val="true"/>
      <sz val="11"/>
      <color rgb="FF2E5090"/>
      <name val="Arial"/>
      <family val="0"/>
      <charset val="1"/>
    </font>
    <font>
      <b val="true"/>
      <sz val="14"/>
      <color rgb="FF1A8A7D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475467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D2939"/>
      </patternFill>
    </fill>
    <fill>
      <patternFill patternType="solid">
        <fgColor rgb="FFF0F4F8"/>
        <bgColor rgb="FFF5F7FA"/>
      </patternFill>
    </fill>
    <fill>
      <patternFill patternType="solid">
        <fgColor rgb="FF2E5090"/>
        <bgColor rgb="FF475467"/>
      </patternFill>
    </fill>
    <fill>
      <patternFill patternType="solid">
        <fgColor rgb="FFE8EDF3"/>
        <bgColor rgb="FFEDE7F6"/>
      </patternFill>
    </fill>
    <fill>
      <patternFill patternType="solid">
        <fgColor rgb="FFFFFFFF"/>
        <bgColor rgb="FFF5F7FA"/>
      </patternFill>
    </fill>
    <fill>
      <patternFill patternType="solid">
        <fgColor rgb="FFFDE8E8"/>
        <bgColor rgb="FFFEF3E2"/>
      </patternFill>
    </fill>
    <fill>
      <patternFill patternType="solid">
        <fgColor rgb="FFF5F7FA"/>
        <bgColor rgb="FFF0F4F8"/>
      </patternFill>
    </fill>
    <fill>
      <patternFill patternType="solid">
        <fgColor rgb="FFFEF3E2"/>
        <bgColor rgb="FFFFF9DB"/>
      </patternFill>
    </fill>
    <fill>
      <patternFill patternType="solid">
        <fgColor rgb="FFFFF9DB"/>
        <bgColor rgb="FFFEF3E2"/>
      </patternFill>
    </fill>
    <fill>
      <patternFill patternType="solid">
        <fgColor rgb="FFE8F5E9"/>
        <bgColor rgb="FFF0F4F8"/>
      </patternFill>
    </fill>
    <fill>
      <patternFill patternType="solid">
        <fgColor rgb="FFEDE7F6"/>
        <bgColor rgb="FFE8ED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E5090"/>
          <bgColor rgb="FF000000"/>
        </patternFill>
      </fill>
    </dxf>
    <dxf>
      <fill>
        <patternFill patternType="solid">
          <fgColor rgb="FFE8EDF3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8A2B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7085"/>
          <bgColor rgb="FF000000"/>
        </patternFill>
      </fill>
    </dxf>
    <dxf>
      <fill>
        <patternFill patternType="solid">
          <fgColor rgb="FF1D293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EF3E2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7D3C98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354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A8A7D"/>
      <rgbColor rgb="FFB0C4DE"/>
      <rgbColor rgb="FF475467"/>
      <rgbColor rgb="FF9999FF"/>
      <rgbColor rgb="FF7D3C98"/>
      <rgbColor rgb="FFFFF9DB"/>
      <rgbColor rgb="FFE8F5E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F0F4F8"/>
      <rgbColor rgb="FFFEF3E2"/>
      <rgbColor rgb="FFEDE7F6"/>
      <rgbColor rgb="FFF5F7FA"/>
      <rgbColor rgb="FFCC99FF"/>
      <rgbColor rgb="FFFDE8E8"/>
      <rgbColor rgb="FF3366FF"/>
      <rgbColor rgb="FF33CCCC"/>
      <rgbColor rgb="FF99CC00"/>
      <rgbColor rgb="FFFFCC00"/>
      <rgbColor rgb="FFFF9900"/>
      <rgbColor rgb="FFD35400"/>
      <rgbColor rgb="FF667085"/>
      <rgbColor rgb="FF98A2B3"/>
      <rgbColor rgb="FF1B2A4A"/>
      <rgbColor rgb="FF27AE60"/>
      <rgbColor rgb="FF003300"/>
      <rgbColor rgb="FF344054"/>
      <rgbColor rgb="FFC0392B"/>
      <rgbColor rgb="FF993366"/>
      <rgbColor rgb="FF2E5090"/>
      <rgbColor rgb="FF1D2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G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5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  <c r="F4" s="4" t="s">
        <v>8</v>
      </c>
      <c r="G4" s="5" t="s">
        <v>9</v>
      </c>
    </row>
    <row r="5" customFormat="false" ht="30" hidden="false" customHeight="true" outlineLevel="0" collapsed="false">
      <c r="A5" s="6" t="s">
        <v>10</v>
      </c>
      <c r="B5" s="6"/>
      <c r="C5" s="6"/>
      <c r="D5" s="6"/>
      <c r="E5" s="6"/>
      <c r="F5" s="6"/>
      <c r="G5" s="6"/>
    </row>
    <row r="6" customFormat="false" ht="25.5" hidden="false" customHeight="true" outlineLevel="0" collapsed="false">
      <c r="A6" s="7" t="s">
        <v>11</v>
      </c>
      <c r="B6" s="7"/>
      <c r="C6" s="7"/>
      <c r="D6" s="7"/>
      <c r="E6" s="7"/>
      <c r="F6" s="7"/>
      <c r="G6" s="7"/>
    </row>
    <row r="7" customFormat="false" ht="27.75" hidden="false" customHeight="true" outlineLevel="0" collapsed="false">
      <c r="A7" s="8" t="n">
        <v>1</v>
      </c>
      <c r="B7" s="9" t="s">
        <v>12</v>
      </c>
      <c r="C7" s="9" t="s">
        <v>13</v>
      </c>
      <c r="D7" s="10" t="s">
        <v>14</v>
      </c>
      <c r="E7" s="11" t="s">
        <v>15</v>
      </c>
      <c r="F7" s="12"/>
      <c r="G7" s="9"/>
    </row>
    <row r="8" customFormat="false" ht="27.75" hidden="false" customHeight="true" outlineLevel="0" collapsed="false">
      <c r="A8" s="13" t="n">
        <v>2</v>
      </c>
      <c r="B8" s="14" t="s">
        <v>12</v>
      </c>
      <c r="C8" s="14" t="s">
        <v>13</v>
      </c>
      <c r="D8" s="15" t="s">
        <v>16</v>
      </c>
      <c r="E8" s="11" t="s">
        <v>15</v>
      </c>
      <c r="F8" s="16"/>
      <c r="G8" s="14"/>
    </row>
    <row r="9" customFormat="false" ht="27.75" hidden="false" customHeight="true" outlineLevel="0" collapsed="false">
      <c r="A9" s="8" t="n">
        <v>3</v>
      </c>
      <c r="B9" s="9" t="s">
        <v>12</v>
      </c>
      <c r="C9" s="9" t="s">
        <v>13</v>
      </c>
      <c r="D9" s="10" t="s">
        <v>17</v>
      </c>
      <c r="E9" s="11" t="s">
        <v>15</v>
      </c>
      <c r="F9" s="12"/>
      <c r="G9" s="9"/>
    </row>
    <row r="10" customFormat="false" ht="27.75" hidden="false" customHeight="true" outlineLevel="0" collapsed="false">
      <c r="A10" s="13" t="n">
        <v>4</v>
      </c>
      <c r="B10" s="14" t="s">
        <v>12</v>
      </c>
      <c r="C10" s="14" t="s">
        <v>13</v>
      </c>
      <c r="D10" s="15" t="s">
        <v>18</v>
      </c>
      <c r="E10" s="17" t="s">
        <v>19</v>
      </c>
      <c r="F10" s="16"/>
      <c r="G10" s="14"/>
    </row>
    <row r="11" customFormat="false" ht="27.75" hidden="false" customHeight="true" outlineLevel="0" collapsed="false">
      <c r="A11" s="8" t="n">
        <v>5</v>
      </c>
      <c r="B11" s="9" t="s">
        <v>12</v>
      </c>
      <c r="C11" s="9" t="s">
        <v>13</v>
      </c>
      <c r="D11" s="10" t="s">
        <v>20</v>
      </c>
      <c r="E11" s="17" t="s">
        <v>19</v>
      </c>
      <c r="F11" s="12"/>
      <c r="G11" s="9"/>
    </row>
    <row r="12" customFormat="false" ht="27.75" hidden="false" customHeight="true" outlineLevel="0" collapsed="false">
      <c r="A12" s="13" t="n">
        <v>6</v>
      </c>
      <c r="B12" s="14" t="s">
        <v>12</v>
      </c>
      <c r="C12" s="14" t="s">
        <v>13</v>
      </c>
      <c r="D12" s="15" t="s">
        <v>21</v>
      </c>
      <c r="E12" s="11" t="s">
        <v>15</v>
      </c>
      <c r="F12" s="16"/>
      <c r="G12" s="14"/>
    </row>
    <row r="13" customFormat="false" ht="27.75" hidden="false" customHeight="true" outlineLevel="0" collapsed="false">
      <c r="A13" s="8" t="n">
        <v>7</v>
      </c>
      <c r="B13" s="9" t="s">
        <v>12</v>
      </c>
      <c r="C13" s="9" t="s">
        <v>13</v>
      </c>
      <c r="D13" s="10" t="s">
        <v>22</v>
      </c>
      <c r="E13" s="17" t="s">
        <v>19</v>
      </c>
      <c r="F13" s="12"/>
      <c r="G13" s="9"/>
    </row>
    <row r="14" customFormat="false" ht="27.75" hidden="false" customHeight="true" outlineLevel="0" collapsed="false">
      <c r="A14" s="13" t="n">
        <v>8</v>
      </c>
      <c r="B14" s="14" t="s">
        <v>12</v>
      </c>
      <c r="C14" s="14" t="s">
        <v>13</v>
      </c>
      <c r="D14" s="15" t="s">
        <v>23</v>
      </c>
      <c r="E14" s="17" t="s">
        <v>19</v>
      </c>
      <c r="F14" s="16"/>
      <c r="G14" s="14"/>
    </row>
    <row r="15" customFormat="false" ht="27.75" hidden="false" customHeight="true" outlineLevel="0" collapsed="false">
      <c r="A15" s="8" t="n">
        <v>9</v>
      </c>
      <c r="B15" s="9" t="s">
        <v>12</v>
      </c>
      <c r="C15" s="9" t="s">
        <v>13</v>
      </c>
      <c r="D15" s="10" t="s">
        <v>24</v>
      </c>
      <c r="E15" s="17" t="s">
        <v>19</v>
      </c>
      <c r="F15" s="12"/>
      <c r="G15" s="9"/>
    </row>
    <row r="16" customFormat="false" ht="27.75" hidden="false" customHeight="true" outlineLevel="0" collapsed="false">
      <c r="A16" s="13" t="n">
        <v>10</v>
      </c>
      <c r="B16" s="14" t="s">
        <v>12</v>
      </c>
      <c r="C16" s="14" t="s">
        <v>13</v>
      </c>
      <c r="D16" s="15" t="s">
        <v>25</v>
      </c>
      <c r="E16" s="18" t="s">
        <v>26</v>
      </c>
      <c r="F16" s="16"/>
      <c r="G16" s="14"/>
    </row>
    <row r="17" customFormat="false" ht="27.75" hidden="false" customHeight="true" outlineLevel="0" collapsed="false">
      <c r="A17" s="8" t="n">
        <v>11</v>
      </c>
      <c r="B17" s="9" t="s">
        <v>12</v>
      </c>
      <c r="C17" s="9" t="s">
        <v>13</v>
      </c>
      <c r="D17" s="10" t="s">
        <v>27</v>
      </c>
      <c r="E17" s="17" t="s">
        <v>19</v>
      </c>
      <c r="F17" s="12"/>
      <c r="G17" s="9"/>
    </row>
    <row r="18" customFormat="false" ht="27.75" hidden="false" customHeight="true" outlineLevel="0" collapsed="false">
      <c r="A18" s="13" t="n">
        <v>12</v>
      </c>
      <c r="B18" s="14" t="s">
        <v>12</v>
      </c>
      <c r="C18" s="14" t="s">
        <v>13</v>
      </c>
      <c r="D18" s="15" t="s">
        <v>28</v>
      </c>
      <c r="E18" s="17" t="s">
        <v>19</v>
      </c>
      <c r="F18" s="16"/>
      <c r="G18" s="14"/>
    </row>
    <row r="19" customFormat="false" ht="27.75" hidden="false" customHeight="true" outlineLevel="0" collapsed="false">
      <c r="A19" s="8" t="n">
        <v>13</v>
      </c>
      <c r="B19" s="9" t="s">
        <v>12</v>
      </c>
      <c r="C19" s="9" t="s">
        <v>13</v>
      </c>
      <c r="D19" s="10" t="s">
        <v>29</v>
      </c>
      <c r="E19" s="18" t="s">
        <v>26</v>
      </c>
      <c r="F19" s="12"/>
      <c r="G19" s="9"/>
    </row>
    <row r="20" customFormat="false" ht="27.75" hidden="false" customHeight="true" outlineLevel="0" collapsed="false">
      <c r="A20" s="13" t="n">
        <v>14</v>
      </c>
      <c r="B20" s="14" t="s">
        <v>12</v>
      </c>
      <c r="C20" s="14" t="s">
        <v>13</v>
      </c>
      <c r="D20" s="15" t="s">
        <v>30</v>
      </c>
      <c r="E20" s="18" t="s">
        <v>26</v>
      </c>
      <c r="F20" s="16"/>
      <c r="G20" s="14"/>
    </row>
    <row r="21" customFormat="false" ht="27.75" hidden="false" customHeight="true" outlineLevel="0" collapsed="false">
      <c r="A21" s="8" t="n">
        <v>15</v>
      </c>
      <c r="B21" s="9" t="s">
        <v>12</v>
      </c>
      <c r="C21" s="9" t="s">
        <v>13</v>
      </c>
      <c r="D21" s="10" t="s">
        <v>31</v>
      </c>
      <c r="E21" s="18" t="s">
        <v>26</v>
      </c>
      <c r="F21" s="12"/>
      <c r="G21" s="9"/>
    </row>
    <row r="22" customFormat="false" ht="27.75" hidden="false" customHeight="true" outlineLevel="0" collapsed="false">
      <c r="A22" s="13" t="n">
        <v>16</v>
      </c>
      <c r="B22" s="14" t="s">
        <v>12</v>
      </c>
      <c r="C22" s="14" t="s">
        <v>13</v>
      </c>
      <c r="D22" s="15" t="s">
        <v>32</v>
      </c>
      <c r="E22" s="18" t="s">
        <v>26</v>
      </c>
      <c r="F22" s="16"/>
      <c r="G22" s="14"/>
    </row>
    <row r="23" customFormat="false" ht="25.5" hidden="false" customHeight="true" outlineLevel="0" collapsed="false">
      <c r="A23" s="7" t="s">
        <v>33</v>
      </c>
      <c r="B23" s="7"/>
      <c r="C23" s="7"/>
      <c r="D23" s="7"/>
      <c r="E23" s="7"/>
      <c r="F23" s="7"/>
      <c r="G23" s="7"/>
    </row>
    <row r="24" customFormat="false" ht="27.75" hidden="false" customHeight="true" outlineLevel="0" collapsed="false">
      <c r="A24" s="13" t="n">
        <v>17</v>
      </c>
      <c r="B24" s="14" t="s">
        <v>12</v>
      </c>
      <c r="C24" s="14" t="s">
        <v>34</v>
      </c>
      <c r="D24" s="15" t="s">
        <v>35</v>
      </c>
      <c r="E24" s="17" t="s">
        <v>19</v>
      </c>
      <c r="F24" s="16"/>
      <c r="G24" s="14"/>
    </row>
    <row r="25" customFormat="false" ht="27.75" hidden="false" customHeight="true" outlineLevel="0" collapsed="false">
      <c r="A25" s="8" t="n">
        <v>18</v>
      </c>
      <c r="B25" s="9" t="s">
        <v>12</v>
      </c>
      <c r="C25" s="9" t="s">
        <v>34</v>
      </c>
      <c r="D25" s="10" t="s">
        <v>36</v>
      </c>
      <c r="E25" s="18" t="s">
        <v>26</v>
      </c>
      <c r="F25" s="12"/>
      <c r="G25" s="9"/>
    </row>
    <row r="26" customFormat="false" ht="27.75" hidden="false" customHeight="true" outlineLevel="0" collapsed="false">
      <c r="A26" s="13" t="n">
        <v>19</v>
      </c>
      <c r="B26" s="14" t="s">
        <v>12</v>
      </c>
      <c r="C26" s="14" t="s">
        <v>34</v>
      </c>
      <c r="D26" s="15" t="s">
        <v>37</v>
      </c>
      <c r="E26" s="17" t="s">
        <v>19</v>
      </c>
      <c r="F26" s="16"/>
      <c r="G26" s="14"/>
    </row>
    <row r="27" customFormat="false" ht="27.75" hidden="false" customHeight="true" outlineLevel="0" collapsed="false">
      <c r="A27" s="8" t="n">
        <v>20</v>
      </c>
      <c r="B27" s="9" t="s">
        <v>12</v>
      </c>
      <c r="C27" s="9" t="s">
        <v>34</v>
      </c>
      <c r="D27" s="10" t="s">
        <v>38</v>
      </c>
      <c r="E27" s="19" t="s">
        <v>39</v>
      </c>
      <c r="F27" s="12"/>
      <c r="G27" s="9"/>
    </row>
    <row r="28" customFormat="false" ht="27.75" hidden="false" customHeight="true" outlineLevel="0" collapsed="false">
      <c r="A28" s="13" t="n">
        <v>21</v>
      </c>
      <c r="B28" s="14" t="s">
        <v>12</v>
      </c>
      <c r="C28" s="14" t="s">
        <v>34</v>
      </c>
      <c r="D28" s="15" t="s">
        <v>40</v>
      </c>
      <c r="E28" s="18" t="s">
        <v>26</v>
      </c>
      <c r="F28" s="16"/>
      <c r="G28" s="14"/>
    </row>
    <row r="29" customFormat="false" ht="27.75" hidden="false" customHeight="true" outlineLevel="0" collapsed="false">
      <c r="A29" s="8" t="n">
        <v>22</v>
      </c>
      <c r="B29" s="9" t="s">
        <v>12</v>
      </c>
      <c r="C29" s="9" t="s">
        <v>34</v>
      </c>
      <c r="D29" s="10" t="s">
        <v>41</v>
      </c>
      <c r="E29" s="18" t="s">
        <v>26</v>
      </c>
      <c r="F29" s="12"/>
      <c r="G29" s="9"/>
    </row>
    <row r="30" customFormat="false" ht="27.75" hidden="false" customHeight="true" outlineLevel="0" collapsed="false">
      <c r="A30" s="13" t="n">
        <v>23</v>
      </c>
      <c r="B30" s="14" t="s">
        <v>12</v>
      </c>
      <c r="C30" s="14" t="s">
        <v>34</v>
      </c>
      <c r="D30" s="15" t="s">
        <v>42</v>
      </c>
      <c r="E30" s="19" t="s">
        <v>39</v>
      </c>
      <c r="F30" s="16"/>
      <c r="G30" s="14"/>
    </row>
    <row r="31" customFormat="false" ht="27.75" hidden="false" customHeight="true" outlineLevel="0" collapsed="false">
      <c r="A31" s="8" t="n">
        <v>24</v>
      </c>
      <c r="B31" s="9" t="s">
        <v>12</v>
      </c>
      <c r="C31" s="9" t="s">
        <v>34</v>
      </c>
      <c r="D31" s="10" t="s">
        <v>43</v>
      </c>
      <c r="E31" s="19" t="s">
        <v>39</v>
      </c>
      <c r="F31" s="12"/>
      <c r="G31" s="9"/>
    </row>
    <row r="32" customFormat="false" ht="27.75" hidden="false" customHeight="true" outlineLevel="0" collapsed="false">
      <c r="A32" s="13" t="n">
        <v>25</v>
      </c>
      <c r="B32" s="14" t="s">
        <v>12</v>
      </c>
      <c r="C32" s="14" t="s">
        <v>34</v>
      </c>
      <c r="D32" s="15" t="s">
        <v>44</v>
      </c>
      <c r="E32" s="20" t="s">
        <v>45</v>
      </c>
      <c r="F32" s="16"/>
      <c r="G32" s="14"/>
    </row>
    <row r="33" customFormat="false" ht="27.75" hidden="false" customHeight="true" outlineLevel="0" collapsed="false">
      <c r="A33" s="8" t="n">
        <v>26</v>
      </c>
      <c r="B33" s="9" t="s">
        <v>12</v>
      </c>
      <c r="C33" s="9" t="s">
        <v>34</v>
      </c>
      <c r="D33" s="10" t="s">
        <v>46</v>
      </c>
      <c r="E33" s="17" t="s">
        <v>19</v>
      </c>
      <c r="F33" s="12"/>
      <c r="G33" s="9"/>
    </row>
    <row r="34" customFormat="false" ht="27.75" hidden="false" customHeight="true" outlineLevel="0" collapsed="false">
      <c r="A34" s="13" t="n">
        <v>27</v>
      </c>
      <c r="B34" s="14" t="s">
        <v>12</v>
      </c>
      <c r="C34" s="14" t="s">
        <v>34</v>
      </c>
      <c r="D34" s="15" t="s">
        <v>47</v>
      </c>
      <c r="E34" s="17" t="s">
        <v>19</v>
      </c>
      <c r="F34" s="16"/>
      <c r="G34" s="14"/>
    </row>
    <row r="35" customFormat="false" ht="27.75" hidden="false" customHeight="true" outlineLevel="0" collapsed="false">
      <c r="A35" s="8" t="n">
        <v>28</v>
      </c>
      <c r="B35" s="9" t="s">
        <v>12</v>
      </c>
      <c r="C35" s="9" t="s">
        <v>34</v>
      </c>
      <c r="D35" s="10" t="s">
        <v>48</v>
      </c>
      <c r="E35" s="17" t="s">
        <v>19</v>
      </c>
      <c r="F35" s="12"/>
      <c r="G35" s="9"/>
    </row>
    <row r="36" customFormat="false" ht="27.75" hidden="false" customHeight="true" outlineLevel="0" collapsed="false">
      <c r="A36" s="13" t="n">
        <v>29</v>
      </c>
      <c r="B36" s="14" t="s">
        <v>12</v>
      </c>
      <c r="C36" s="14" t="s">
        <v>34</v>
      </c>
      <c r="D36" s="15" t="s">
        <v>49</v>
      </c>
      <c r="E36" s="17" t="s">
        <v>19</v>
      </c>
      <c r="F36" s="16"/>
      <c r="G36" s="14"/>
    </row>
    <row r="37" customFormat="false" ht="27.75" hidden="false" customHeight="true" outlineLevel="0" collapsed="false">
      <c r="A37" s="8" t="n">
        <v>30</v>
      </c>
      <c r="B37" s="9" t="s">
        <v>12</v>
      </c>
      <c r="C37" s="9" t="s">
        <v>34</v>
      </c>
      <c r="D37" s="10" t="s">
        <v>50</v>
      </c>
      <c r="E37" s="18" t="s">
        <v>26</v>
      </c>
      <c r="F37" s="12"/>
      <c r="G37" s="9"/>
    </row>
    <row r="38" customFormat="false" ht="27.75" hidden="false" customHeight="true" outlineLevel="0" collapsed="false">
      <c r="A38" s="13" t="n">
        <v>31</v>
      </c>
      <c r="B38" s="14" t="s">
        <v>12</v>
      </c>
      <c r="C38" s="14" t="s">
        <v>34</v>
      </c>
      <c r="D38" s="15" t="s">
        <v>51</v>
      </c>
      <c r="E38" s="18" t="s">
        <v>26</v>
      </c>
      <c r="F38" s="16"/>
      <c r="G38" s="14"/>
    </row>
    <row r="39" customFormat="false" ht="27.75" hidden="false" customHeight="true" outlineLevel="0" collapsed="false">
      <c r="A39" s="8" t="n">
        <v>32</v>
      </c>
      <c r="B39" s="9" t="s">
        <v>12</v>
      </c>
      <c r="C39" s="9" t="s">
        <v>34</v>
      </c>
      <c r="D39" s="10" t="s">
        <v>52</v>
      </c>
      <c r="E39" s="18" t="s">
        <v>26</v>
      </c>
      <c r="F39" s="12"/>
      <c r="G39" s="9"/>
    </row>
    <row r="40" customFormat="false" ht="30" hidden="false" customHeight="true" outlineLevel="0" collapsed="false">
      <c r="A40" s="6" t="s">
        <v>53</v>
      </c>
      <c r="B40" s="6"/>
      <c r="C40" s="6"/>
      <c r="D40" s="6"/>
      <c r="E40" s="6"/>
      <c r="F40" s="6"/>
      <c r="G40" s="6"/>
    </row>
    <row r="41" customFormat="false" ht="25.5" hidden="false" customHeight="true" outlineLevel="0" collapsed="false">
      <c r="A41" s="7" t="s">
        <v>54</v>
      </c>
      <c r="B41" s="7"/>
      <c r="C41" s="7"/>
      <c r="D41" s="7"/>
      <c r="E41" s="7"/>
      <c r="F41" s="7"/>
      <c r="G41" s="7"/>
    </row>
    <row r="42" customFormat="false" ht="27.75" hidden="false" customHeight="true" outlineLevel="0" collapsed="false">
      <c r="A42" s="13" t="n">
        <v>33</v>
      </c>
      <c r="B42" s="14" t="s">
        <v>55</v>
      </c>
      <c r="C42" s="14" t="s">
        <v>56</v>
      </c>
      <c r="D42" s="15" t="s">
        <v>57</v>
      </c>
      <c r="E42" s="17" t="s">
        <v>19</v>
      </c>
      <c r="F42" s="16"/>
      <c r="G42" s="14"/>
    </row>
    <row r="43" customFormat="false" ht="27.75" hidden="false" customHeight="true" outlineLevel="0" collapsed="false">
      <c r="A43" s="8" t="n">
        <v>34</v>
      </c>
      <c r="B43" s="9" t="s">
        <v>55</v>
      </c>
      <c r="C43" s="9" t="s">
        <v>56</v>
      </c>
      <c r="D43" s="10" t="s">
        <v>58</v>
      </c>
      <c r="E43" s="18" t="s">
        <v>26</v>
      </c>
      <c r="F43" s="12"/>
      <c r="G43" s="9"/>
    </row>
    <row r="44" customFormat="false" ht="27.75" hidden="false" customHeight="true" outlineLevel="0" collapsed="false">
      <c r="A44" s="13" t="n">
        <v>35</v>
      </c>
      <c r="B44" s="14" t="s">
        <v>55</v>
      </c>
      <c r="C44" s="14" t="s">
        <v>56</v>
      </c>
      <c r="D44" s="15" t="s">
        <v>59</v>
      </c>
      <c r="E44" s="18" t="s">
        <v>26</v>
      </c>
      <c r="F44" s="16"/>
      <c r="G44" s="14"/>
    </row>
    <row r="45" customFormat="false" ht="27.75" hidden="false" customHeight="true" outlineLevel="0" collapsed="false">
      <c r="A45" s="8" t="n">
        <v>36</v>
      </c>
      <c r="B45" s="9" t="s">
        <v>55</v>
      </c>
      <c r="C45" s="9" t="s">
        <v>56</v>
      </c>
      <c r="D45" s="10" t="s">
        <v>60</v>
      </c>
      <c r="E45" s="18" t="s">
        <v>26</v>
      </c>
      <c r="F45" s="12"/>
      <c r="G45" s="9"/>
    </row>
    <row r="46" customFormat="false" ht="27.75" hidden="false" customHeight="true" outlineLevel="0" collapsed="false">
      <c r="A46" s="13" t="n">
        <v>37</v>
      </c>
      <c r="B46" s="14" t="s">
        <v>55</v>
      </c>
      <c r="C46" s="14" t="s">
        <v>56</v>
      </c>
      <c r="D46" s="15" t="s">
        <v>61</v>
      </c>
      <c r="E46" s="17" t="s">
        <v>19</v>
      </c>
      <c r="F46" s="16"/>
      <c r="G46" s="14"/>
    </row>
    <row r="47" customFormat="false" ht="27.75" hidden="false" customHeight="true" outlineLevel="0" collapsed="false">
      <c r="A47" s="8" t="n">
        <v>38</v>
      </c>
      <c r="B47" s="9" t="s">
        <v>55</v>
      </c>
      <c r="C47" s="9" t="s">
        <v>56</v>
      </c>
      <c r="D47" s="10" t="s">
        <v>62</v>
      </c>
      <c r="E47" s="18" t="s">
        <v>26</v>
      </c>
      <c r="F47" s="12"/>
      <c r="G47" s="9"/>
    </row>
    <row r="48" customFormat="false" ht="27.75" hidden="false" customHeight="true" outlineLevel="0" collapsed="false">
      <c r="A48" s="13" t="n">
        <v>39</v>
      </c>
      <c r="B48" s="14" t="s">
        <v>55</v>
      </c>
      <c r="C48" s="14" t="s">
        <v>56</v>
      </c>
      <c r="D48" s="15" t="s">
        <v>63</v>
      </c>
      <c r="E48" s="17" t="s">
        <v>19</v>
      </c>
      <c r="F48" s="16"/>
      <c r="G48" s="14"/>
    </row>
    <row r="49" customFormat="false" ht="27.75" hidden="false" customHeight="true" outlineLevel="0" collapsed="false">
      <c r="A49" s="8" t="n">
        <v>40</v>
      </c>
      <c r="B49" s="9" t="s">
        <v>55</v>
      </c>
      <c r="C49" s="9" t="s">
        <v>56</v>
      </c>
      <c r="D49" s="10" t="s">
        <v>64</v>
      </c>
      <c r="E49" s="17" t="s">
        <v>19</v>
      </c>
      <c r="F49" s="12"/>
      <c r="G49" s="9"/>
    </row>
    <row r="50" customFormat="false" ht="27.75" hidden="false" customHeight="true" outlineLevel="0" collapsed="false">
      <c r="A50" s="13" t="n">
        <v>41</v>
      </c>
      <c r="B50" s="14" t="s">
        <v>55</v>
      </c>
      <c r="C50" s="14" t="s">
        <v>56</v>
      </c>
      <c r="D50" s="15" t="s">
        <v>65</v>
      </c>
      <c r="E50" s="17" t="s">
        <v>19</v>
      </c>
      <c r="F50" s="16"/>
      <c r="G50" s="14"/>
    </row>
    <row r="51" customFormat="false" ht="27.75" hidden="false" customHeight="true" outlineLevel="0" collapsed="false">
      <c r="A51" s="8" t="n">
        <v>42</v>
      </c>
      <c r="B51" s="9" t="s">
        <v>55</v>
      </c>
      <c r="C51" s="9" t="s">
        <v>56</v>
      </c>
      <c r="D51" s="10" t="s">
        <v>66</v>
      </c>
      <c r="E51" s="18" t="s">
        <v>26</v>
      </c>
      <c r="F51" s="12"/>
      <c r="G51" s="9"/>
    </row>
    <row r="52" customFormat="false" ht="27.75" hidden="false" customHeight="true" outlineLevel="0" collapsed="false">
      <c r="A52" s="13" t="n">
        <v>43</v>
      </c>
      <c r="B52" s="14" t="s">
        <v>55</v>
      </c>
      <c r="C52" s="14" t="s">
        <v>56</v>
      </c>
      <c r="D52" s="15" t="s">
        <v>67</v>
      </c>
      <c r="E52" s="18" t="s">
        <v>26</v>
      </c>
      <c r="F52" s="16"/>
      <c r="G52" s="14"/>
    </row>
    <row r="53" customFormat="false" ht="27.75" hidden="false" customHeight="true" outlineLevel="0" collapsed="false">
      <c r="A53" s="8" t="n">
        <v>44</v>
      </c>
      <c r="B53" s="9" t="s">
        <v>55</v>
      </c>
      <c r="C53" s="9" t="s">
        <v>56</v>
      </c>
      <c r="D53" s="10" t="s">
        <v>68</v>
      </c>
      <c r="E53" s="18" t="s">
        <v>26</v>
      </c>
      <c r="F53" s="12"/>
      <c r="G53" s="9"/>
    </row>
    <row r="54" customFormat="false" ht="27.75" hidden="false" customHeight="true" outlineLevel="0" collapsed="false">
      <c r="A54" s="13" t="n">
        <v>45</v>
      </c>
      <c r="B54" s="14" t="s">
        <v>55</v>
      </c>
      <c r="C54" s="14" t="s">
        <v>56</v>
      </c>
      <c r="D54" s="15" t="s">
        <v>69</v>
      </c>
      <c r="E54" s="17" t="s">
        <v>19</v>
      </c>
      <c r="F54" s="16"/>
      <c r="G54" s="14"/>
    </row>
    <row r="55" customFormat="false" ht="27.75" hidden="false" customHeight="true" outlineLevel="0" collapsed="false">
      <c r="A55" s="8" t="n">
        <v>46</v>
      </c>
      <c r="B55" s="9" t="s">
        <v>55</v>
      </c>
      <c r="C55" s="9" t="s">
        <v>56</v>
      </c>
      <c r="D55" s="10" t="s">
        <v>70</v>
      </c>
      <c r="E55" s="19" t="s">
        <v>39</v>
      </c>
      <c r="F55" s="12"/>
      <c r="G55" s="9"/>
    </row>
    <row r="56" customFormat="false" ht="27.75" hidden="false" customHeight="true" outlineLevel="0" collapsed="false">
      <c r="A56" s="13" t="n">
        <v>47</v>
      </c>
      <c r="B56" s="14" t="s">
        <v>55</v>
      </c>
      <c r="C56" s="14" t="s">
        <v>56</v>
      </c>
      <c r="D56" s="15" t="s">
        <v>71</v>
      </c>
      <c r="E56" s="18" t="s">
        <v>26</v>
      </c>
      <c r="F56" s="16"/>
      <c r="G56" s="14"/>
    </row>
    <row r="57" customFormat="false" ht="27.75" hidden="false" customHeight="true" outlineLevel="0" collapsed="false">
      <c r="A57" s="8" t="n">
        <v>48</v>
      </c>
      <c r="B57" s="9" t="s">
        <v>55</v>
      </c>
      <c r="C57" s="9" t="s">
        <v>56</v>
      </c>
      <c r="D57" s="10" t="s">
        <v>72</v>
      </c>
      <c r="E57" s="19" t="s">
        <v>39</v>
      </c>
      <c r="F57" s="12"/>
      <c r="G57" s="9"/>
    </row>
    <row r="58" customFormat="false" ht="25.5" hidden="false" customHeight="true" outlineLevel="0" collapsed="false">
      <c r="A58" s="7" t="s">
        <v>73</v>
      </c>
      <c r="B58" s="7"/>
      <c r="C58" s="7"/>
      <c r="D58" s="7"/>
      <c r="E58" s="7"/>
      <c r="F58" s="7"/>
      <c r="G58" s="7"/>
    </row>
    <row r="59" customFormat="false" ht="27.75" hidden="false" customHeight="true" outlineLevel="0" collapsed="false">
      <c r="A59" s="8" t="n">
        <v>49</v>
      </c>
      <c r="B59" s="9" t="s">
        <v>55</v>
      </c>
      <c r="C59" s="9" t="s">
        <v>74</v>
      </c>
      <c r="D59" s="10" t="s">
        <v>75</v>
      </c>
      <c r="E59" s="11" t="s">
        <v>15</v>
      </c>
      <c r="F59" s="12"/>
      <c r="G59" s="9"/>
    </row>
    <row r="60" customFormat="false" ht="27.75" hidden="false" customHeight="true" outlineLevel="0" collapsed="false">
      <c r="A60" s="13" t="n">
        <v>50</v>
      </c>
      <c r="B60" s="14" t="s">
        <v>55</v>
      </c>
      <c r="C60" s="14" t="s">
        <v>74</v>
      </c>
      <c r="D60" s="15" t="s">
        <v>76</v>
      </c>
      <c r="E60" s="11" t="s">
        <v>15</v>
      </c>
      <c r="F60" s="16"/>
      <c r="G60" s="14"/>
    </row>
    <row r="61" customFormat="false" ht="27.75" hidden="false" customHeight="true" outlineLevel="0" collapsed="false">
      <c r="A61" s="8" t="n">
        <v>51</v>
      </c>
      <c r="B61" s="9" t="s">
        <v>55</v>
      </c>
      <c r="C61" s="9" t="s">
        <v>74</v>
      </c>
      <c r="D61" s="10" t="s">
        <v>77</v>
      </c>
      <c r="E61" s="17" t="s">
        <v>19</v>
      </c>
      <c r="F61" s="12"/>
      <c r="G61" s="9"/>
    </row>
    <row r="62" customFormat="false" ht="27.75" hidden="false" customHeight="true" outlineLevel="0" collapsed="false">
      <c r="A62" s="13" t="n">
        <v>52</v>
      </c>
      <c r="B62" s="14" t="s">
        <v>55</v>
      </c>
      <c r="C62" s="14" t="s">
        <v>74</v>
      </c>
      <c r="D62" s="15" t="s">
        <v>78</v>
      </c>
      <c r="E62" s="18" t="s">
        <v>26</v>
      </c>
      <c r="F62" s="16"/>
      <c r="G62" s="14"/>
    </row>
    <row r="63" customFormat="false" ht="27.75" hidden="false" customHeight="true" outlineLevel="0" collapsed="false">
      <c r="A63" s="8" t="n">
        <v>53</v>
      </c>
      <c r="B63" s="9" t="s">
        <v>55</v>
      </c>
      <c r="C63" s="9" t="s">
        <v>74</v>
      </c>
      <c r="D63" s="10" t="s">
        <v>79</v>
      </c>
      <c r="E63" s="18" t="s">
        <v>26</v>
      </c>
      <c r="F63" s="12"/>
      <c r="G63" s="9"/>
    </row>
    <row r="64" customFormat="false" ht="27.75" hidden="false" customHeight="true" outlineLevel="0" collapsed="false">
      <c r="A64" s="13" t="n">
        <v>54</v>
      </c>
      <c r="B64" s="14" t="s">
        <v>55</v>
      </c>
      <c r="C64" s="14" t="s">
        <v>74</v>
      </c>
      <c r="D64" s="15" t="s">
        <v>80</v>
      </c>
      <c r="E64" s="11" t="s">
        <v>15</v>
      </c>
      <c r="F64" s="16"/>
      <c r="G64" s="14"/>
    </row>
    <row r="65" customFormat="false" ht="27.75" hidden="false" customHeight="true" outlineLevel="0" collapsed="false">
      <c r="A65" s="8" t="n">
        <v>55</v>
      </c>
      <c r="B65" s="9" t="s">
        <v>55</v>
      </c>
      <c r="C65" s="9" t="s">
        <v>74</v>
      </c>
      <c r="D65" s="10" t="s">
        <v>81</v>
      </c>
      <c r="E65" s="11" t="s">
        <v>15</v>
      </c>
      <c r="F65" s="12"/>
      <c r="G65" s="9"/>
    </row>
    <row r="66" customFormat="false" ht="27.75" hidden="false" customHeight="true" outlineLevel="0" collapsed="false">
      <c r="A66" s="13" t="n">
        <v>56</v>
      </c>
      <c r="B66" s="14" t="s">
        <v>55</v>
      </c>
      <c r="C66" s="14" t="s">
        <v>74</v>
      </c>
      <c r="D66" s="15" t="s">
        <v>82</v>
      </c>
      <c r="E66" s="18" t="s">
        <v>26</v>
      </c>
      <c r="F66" s="16"/>
      <c r="G66" s="14"/>
    </row>
    <row r="67" customFormat="false" ht="25.5" hidden="false" customHeight="true" outlineLevel="0" collapsed="false">
      <c r="A67" s="7" t="s">
        <v>83</v>
      </c>
      <c r="B67" s="7"/>
      <c r="C67" s="7"/>
      <c r="D67" s="7"/>
      <c r="E67" s="7"/>
      <c r="F67" s="7"/>
      <c r="G67" s="7"/>
    </row>
    <row r="68" customFormat="false" ht="27.75" hidden="false" customHeight="true" outlineLevel="0" collapsed="false">
      <c r="A68" s="13" t="n">
        <v>57</v>
      </c>
      <c r="B68" s="14" t="s">
        <v>55</v>
      </c>
      <c r="C68" s="14" t="s">
        <v>84</v>
      </c>
      <c r="D68" s="15" t="s">
        <v>85</v>
      </c>
      <c r="E68" s="17" t="s">
        <v>19</v>
      </c>
      <c r="F68" s="16"/>
      <c r="G68" s="14"/>
    </row>
    <row r="69" customFormat="false" ht="27.75" hidden="false" customHeight="true" outlineLevel="0" collapsed="false">
      <c r="A69" s="8" t="n">
        <v>58</v>
      </c>
      <c r="B69" s="9" t="s">
        <v>55</v>
      </c>
      <c r="C69" s="9" t="s">
        <v>84</v>
      </c>
      <c r="D69" s="10" t="s">
        <v>86</v>
      </c>
      <c r="E69" s="17" t="s">
        <v>19</v>
      </c>
      <c r="F69" s="12"/>
      <c r="G69" s="9"/>
    </row>
    <row r="70" customFormat="false" ht="27.75" hidden="false" customHeight="true" outlineLevel="0" collapsed="false">
      <c r="A70" s="13" t="n">
        <v>59</v>
      </c>
      <c r="B70" s="14" t="s">
        <v>55</v>
      </c>
      <c r="C70" s="14" t="s">
        <v>84</v>
      </c>
      <c r="D70" s="15" t="s">
        <v>87</v>
      </c>
      <c r="E70" s="18" t="s">
        <v>26</v>
      </c>
      <c r="F70" s="16"/>
      <c r="G70" s="14"/>
    </row>
    <row r="71" customFormat="false" ht="27.75" hidden="false" customHeight="true" outlineLevel="0" collapsed="false">
      <c r="A71" s="8" t="n">
        <v>60</v>
      </c>
      <c r="B71" s="9" t="s">
        <v>55</v>
      </c>
      <c r="C71" s="9" t="s">
        <v>84</v>
      </c>
      <c r="D71" s="10" t="s">
        <v>88</v>
      </c>
      <c r="E71" s="18" t="s">
        <v>26</v>
      </c>
      <c r="F71" s="12"/>
      <c r="G71" s="9"/>
    </row>
    <row r="72" customFormat="false" ht="27.75" hidden="false" customHeight="true" outlineLevel="0" collapsed="false">
      <c r="A72" s="13" t="n">
        <v>61</v>
      </c>
      <c r="B72" s="14" t="s">
        <v>55</v>
      </c>
      <c r="C72" s="14" t="s">
        <v>84</v>
      </c>
      <c r="D72" s="15" t="s">
        <v>89</v>
      </c>
      <c r="E72" s="17" t="s">
        <v>19</v>
      </c>
      <c r="F72" s="16"/>
      <c r="G72" s="14"/>
    </row>
    <row r="73" customFormat="false" ht="27.75" hidden="false" customHeight="true" outlineLevel="0" collapsed="false">
      <c r="A73" s="8" t="n">
        <v>62</v>
      </c>
      <c r="B73" s="9" t="s">
        <v>55</v>
      </c>
      <c r="C73" s="9" t="s">
        <v>84</v>
      </c>
      <c r="D73" s="10" t="s">
        <v>90</v>
      </c>
      <c r="E73" s="18" t="s">
        <v>26</v>
      </c>
      <c r="F73" s="12"/>
      <c r="G73" s="9"/>
    </row>
    <row r="74" customFormat="false" ht="27.75" hidden="false" customHeight="true" outlineLevel="0" collapsed="false">
      <c r="A74" s="13" t="n">
        <v>63</v>
      </c>
      <c r="B74" s="14" t="s">
        <v>55</v>
      </c>
      <c r="C74" s="14" t="s">
        <v>84</v>
      </c>
      <c r="D74" s="15" t="s">
        <v>91</v>
      </c>
      <c r="E74" s="18" t="s">
        <v>26</v>
      </c>
      <c r="F74" s="16"/>
      <c r="G74" s="14"/>
    </row>
    <row r="75" customFormat="false" ht="27.75" hidden="false" customHeight="true" outlineLevel="0" collapsed="false">
      <c r="A75" s="8" t="n">
        <v>64</v>
      </c>
      <c r="B75" s="9" t="s">
        <v>55</v>
      </c>
      <c r="C75" s="9" t="s">
        <v>84</v>
      </c>
      <c r="D75" s="10" t="s">
        <v>92</v>
      </c>
      <c r="E75" s="18" t="s">
        <v>26</v>
      </c>
      <c r="F75" s="12"/>
      <c r="G75" s="9"/>
    </row>
    <row r="76" customFormat="false" ht="27.75" hidden="false" customHeight="true" outlineLevel="0" collapsed="false">
      <c r="A76" s="13" t="n">
        <v>65</v>
      </c>
      <c r="B76" s="14" t="s">
        <v>55</v>
      </c>
      <c r="C76" s="14" t="s">
        <v>84</v>
      </c>
      <c r="D76" s="15" t="s">
        <v>93</v>
      </c>
      <c r="E76" s="18" t="s">
        <v>26</v>
      </c>
      <c r="F76" s="16"/>
      <c r="G76" s="14"/>
    </row>
    <row r="77" customFormat="false" ht="27.75" hidden="false" customHeight="true" outlineLevel="0" collapsed="false">
      <c r="A77" s="8" t="n">
        <v>66</v>
      </c>
      <c r="B77" s="9" t="s">
        <v>55</v>
      </c>
      <c r="C77" s="9" t="s">
        <v>84</v>
      </c>
      <c r="D77" s="10" t="s">
        <v>94</v>
      </c>
      <c r="E77" s="18" t="s">
        <v>26</v>
      </c>
      <c r="F77" s="12"/>
      <c r="G77" s="9"/>
    </row>
    <row r="78" customFormat="false" ht="27.75" hidden="false" customHeight="true" outlineLevel="0" collapsed="false">
      <c r="A78" s="13" t="n">
        <v>67</v>
      </c>
      <c r="B78" s="14" t="s">
        <v>55</v>
      </c>
      <c r="C78" s="14" t="s">
        <v>84</v>
      </c>
      <c r="D78" s="15" t="s">
        <v>95</v>
      </c>
      <c r="E78" s="18" t="s">
        <v>26</v>
      </c>
      <c r="F78" s="16"/>
      <c r="G78" s="14"/>
    </row>
    <row r="79" customFormat="false" ht="27.75" hidden="false" customHeight="true" outlineLevel="0" collapsed="false">
      <c r="A79" s="8" t="n">
        <v>68</v>
      </c>
      <c r="B79" s="9" t="s">
        <v>55</v>
      </c>
      <c r="C79" s="9" t="s">
        <v>84</v>
      </c>
      <c r="D79" s="10" t="s">
        <v>96</v>
      </c>
      <c r="E79" s="18" t="s">
        <v>26</v>
      </c>
      <c r="F79" s="12"/>
      <c r="G79" s="9"/>
    </row>
    <row r="80" customFormat="false" ht="27.75" hidden="false" customHeight="true" outlineLevel="0" collapsed="false">
      <c r="A80" s="13" t="n">
        <v>69</v>
      </c>
      <c r="B80" s="14" t="s">
        <v>55</v>
      </c>
      <c r="C80" s="14" t="s">
        <v>84</v>
      </c>
      <c r="D80" s="15" t="s">
        <v>97</v>
      </c>
      <c r="E80" s="19" t="s">
        <v>39</v>
      </c>
      <c r="F80" s="16"/>
      <c r="G80" s="14"/>
    </row>
    <row r="81" customFormat="false" ht="27.75" hidden="false" customHeight="true" outlineLevel="0" collapsed="false">
      <c r="A81" s="8" t="n">
        <v>70</v>
      </c>
      <c r="B81" s="9" t="s">
        <v>55</v>
      </c>
      <c r="C81" s="9" t="s">
        <v>84</v>
      </c>
      <c r="D81" s="10" t="s">
        <v>98</v>
      </c>
      <c r="E81" s="19" t="s">
        <v>39</v>
      </c>
      <c r="F81" s="12"/>
      <c r="G81" s="9"/>
    </row>
    <row r="82" customFormat="false" ht="27.75" hidden="false" customHeight="true" outlineLevel="0" collapsed="false">
      <c r="A82" s="13" t="n">
        <v>71</v>
      </c>
      <c r="B82" s="14" t="s">
        <v>55</v>
      </c>
      <c r="C82" s="14" t="s">
        <v>84</v>
      </c>
      <c r="D82" s="15" t="s">
        <v>99</v>
      </c>
      <c r="E82" s="19" t="s">
        <v>39</v>
      </c>
      <c r="F82" s="16"/>
      <c r="G82" s="14"/>
    </row>
    <row r="83" customFormat="false" ht="27.75" hidden="false" customHeight="true" outlineLevel="0" collapsed="false">
      <c r="A83" s="8" t="n">
        <v>72</v>
      </c>
      <c r="B83" s="9" t="s">
        <v>55</v>
      </c>
      <c r="C83" s="9" t="s">
        <v>84</v>
      </c>
      <c r="D83" s="10" t="s">
        <v>100</v>
      </c>
      <c r="E83" s="19" t="s">
        <v>39</v>
      </c>
      <c r="F83" s="12"/>
      <c r="G83" s="9"/>
    </row>
    <row r="84" customFormat="false" ht="30" hidden="false" customHeight="true" outlineLevel="0" collapsed="false">
      <c r="A84" s="6" t="s">
        <v>101</v>
      </c>
      <c r="B84" s="6"/>
      <c r="C84" s="6"/>
      <c r="D84" s="6"/>
      <c r="E84" s="6"/>
      <c r="F84" s="6"/>
      <c r="G84" s="6"/>
    </row>
    <row r="85" customFormat="false" ht="25.5" hidden="false" customHeight="true" outlineLevel="0" collapsed="false">
      <c r="A85" s="7" t="s">
        <v>102</v>
      </c>
      <c r="B85" s="7"/>
      <c r="C85" s="7"/>
      <c r="D85" s="7"/>
      <c r="E85" s="7"/>
      <c r="F85" s="7"/>
      <c r="G85" s="7"/>
    </row>
    <row r="86" customFormat="false" ht="27.75" hidden="false" customHeight="true" outlineLevel="0" collapsed="false">
      <c r="A86" s="13" t="n">
        <v>73</v>
      </c>
      <c r="B86" s="14" t="s">
        <v>103</v>
      </c>
      <c r="C86" s="14" t="s">
        <v>104</v>
      </c>
      <c r="D86" s="15" t="s">
        <v>105</v>
      </c>
      <c r="E86" s="17" t="s">
        <v>19</v>
      </c>
      <c r="F86" s="16"/>
      <c r="G86" s="14"/>
    </row>
    <row r="87" customFormat="false" ht="27.75" hidden="false" customHeight="true" outlineLevel="0" collapsed="false">
      <c r="A87" s="8" t="n">
        <v>74</v>
      </c>
      <c r="B87" s="9" t="s">
        <v>103</v>
      </c>
      <c r="C87" s="9" t="s">
        <v>104</v>
      </c>
      <c r="D87" s="10" t="s">
        <v>106</v>
      </c>
      <c r="E87" s="18" t="s">
        <v>26</v>
      </c>
      <c r="F87" s="12"/>
      <c r="G87" s="9"/>
    </row>
    <row r="88" customFormat="false" ht="27.75" hidden="false" customHeight="true" outlineLevel="0" collapsed="false">
      <c r="A88" s="13" t="n">
        <v>75</v>
      </c>
      <c r="B88" s="14" t="s">
        <v>103</v>
      </c>
      <c r="C88" s="14" t="s">
        <v>104</v>
      </c>
      <c r="D88" s="15" t="s">
        <v>107</v>
      </c>
      <c r="E88" s="18" t="s">
        <v>26</v>
      </c>
      <c r="F88" s="16"/>
      <c r="G88" s="14"/>
    </row>
    <row r="89" customFormat="false" ht="27.75" hidden="false" customHeight="true" outlineLevel="0" collapsed="false">
      <c r="A89" s="8" t="n">
        <v>76</v>
      </c>
      <c r="B89" s="9" t="s">
        <v>103</v>
      </c>
      <c r="C89" s="9" t="s">
        <v>104</v>
      </c>
      <c r="D89" s="10" t="s">
        <v>108</v>
      </c>
      <c r="E89" s="18" t="s">
        <v>26</v>
      </c>
      <c r="F89" s="12"/>
      <c r="G89" s="9"/>
    </row>
    <row r="90" customFormat="false" ht="27.75" hidden="false" customHeight="true" outlineLevel="0" collapsed="false">
      <c r="A90" s="13" t="n">
        <v>77</v>
      </c>
      <c r="B90" s="14" t="s">
        <v>103</v>
      </c>
      <c r="C90" s="14" t="s">
        <v>104</v>
      </c>
      <c r="D90" s="15" t="s">
        <v>109</v>
      </c>
      <c r="E90" s="18" t="s">
        <v>26</v>
      </c>
      <c r="F90" s="16"/>
      <c r="G90" s="14"/>
    </row>
    <row r="91" customFormat="false" ht="27.75" hidden="false" customHeight="true" outlineLevel="0" collapsed="false">
      <c r="A91" s="8" t="n">
        <v>78</v>
      </c>
      <c r="B91" s="9" t="s">
        <v>103</v>
      </c>
      <c r="C91" s="9" t="s">
        <v>104</v>
      </c>
      <c r="D91" s="10" t="s">
        <v>110</v>
      </c>
      <c r="E91" s="18" t="s">
        <v>26</v>
      </c>
      <c r="F91" s="12"/>
      <c r="G91" s="9"/>
    </row>
    <row r="92" customFormat="false" ht="25.5" hidden="false" customHeight="true" outlineLevel="0" collapsed="false">
      <c r="A92" s="7" t="s">
        <v>111</v>
      </c>
      <c r="B92" s="7"/>
      <c r="C92" s="7"/>
      <c r="D92" s="7"/>
      <c r="E92" s="7"/>
      <c r="F92" s="7"/>
      <c r="G92" s="7"/>
    </row>
    <row r="93" customFormat="false" ht="27.75" hidden="false" customHeight="true" outlineLevel="0" collapsed="false">
      <c r="A93" s="8" t="n">
        <v>79</v>
      </c>
      <c r="B93" s="9" t="s">
        <v>103</v>
      </c>
      <c r="C93" s="9" t="s">
        <v>112</v>
      </c>
      <c r="D93" s="10" t="s">
        <v>113</v>
      </c>
      <c r="E93" s="18" t="s">
        <v>26</v>
      </c>
      <c r="F93" s="12"/>
      <c r="G93" s="9"/>
    </row>
    <row r="94" customFormat="false" ht="27.75" hidden="false" customHeight="true" outlineLevel="0" collapsed="false">
      <c r="A94" s="13" t="n">
        <v>80</v>
      </c>
      <c r="B94" s="14" t="s">
        <v>103</v>
      </c>
      <c r="C94" s="14" t="s">
        <v>112</v>
      </c>
      <c r="D94" s="15" t="s">
        <v>114</v>
      </c>
      <c r="E94" s="18" t="s">
        <v>26</v>
      </c>
      <c r="F94" s="16"/>
      <c r="G94" s="14"/>
    </row>
    <row r="95" customFormat="false" ht="27.75" hidden="false" customHeight="true" outlineLevel="0" collapsed="false">
      <c r="A95" s="8" t="n">
        <v>81</v>
      </c>
      <c r="B95" s="9" t="s">
        <v>103</v>
      </c>
      <c r="C95" s="9" t="s">
        <v>112</v>
      </c>
      <c r="D95" s="10" t="s">
        <v>115</v>
      </c>
      <c r="E95" s="18" t="s">
        <v>26</v>
      </c>
      <c r="F95" s="12"/>
      <c r="G95" s="9"/>
    </row>
    <row r="96" customFormat="false" ht="27.75" hidden="false" customHeight="true" outlineLevel="0" collapsed="false">
      <c r="A96" s="13" t="n">
        <v>82</v>
      </c>
      <c r="B96" s="14" t="s">
        <v>103</v>
      </c>
      <c r="C96" s="14" t="s">
        <v>112</v>
      </c>
      <c r="D96" s="15" t="s">
        <v>116</v>
      </c>
      <c r="E96" s="18" t="s">
        <v>26</v>
      </c>
      <c r="F96" s="16"/>
      <c r="G96" s="14"/>
    </row>
    <row r="97" customFormat="false" ht="27.75" hidden="false" customHeight="true" outlineLevel="0" collapsed="false">
      <c r="A97" s="8" t="n">
        <v>83</v>
      </c>
      <c r="B97" s="9" t="s">
        <v>103</v>
      </c>
      <c r="C97" s="9" t="s">
        <v>112</v>
      </c>
      <c r="D97" s="10" t="s">
        <v>117</v>
      </c>
      <c r="E97" s="19" t="s">
        <v>39</v>
      </c>
      <c r="F97" s="12"/>
      <c r="G97" s="9"/>
    </row>
    <row r="98" customFormat="false" ht="27.75" hidden="false" customHeight="true" outlineLevel="0" collapsed="false">
      <c r="A98" s="13" t="n">
        <v>84</v>
      </c>
      <c r="B98" s="14" t="s">
        <v>103</v>
      </c>
      <c r="C98" s="14" t="s">
        <v>112</v>
      </c>
      <c r="D98" s="15" t="s">
        <v>118</v>
      </c>
      <c r="E98" s="20" t="s">
        <v>45</v>
      </c>
      <c r="F98" s="16"/>
      <c r="G98" s="14"/>
    </row>
    <row r="99" customFormat="false" ht="25.5" hidden="false" customHeight="true" outlineLevel="0" collapsed="false">
      <c r="A99" s="7" t="s">
        <v>119</v>
      </c>
      <c r="B99" s="7"/>
      <c r="C99" s="7"/>
      <c r="D99" s="7"/>
      <c r="E99" s="7"/>
      <c r="F99" s="7"/>
      <c r="G99" s="7"/>
    </row>
    <row r="100" customFormat="false" ht="27.75" hidden="false" customHeight="true" outlineLevel="0" collapsed="false">
      <c r="A100" s="13" t="n">
        <v>85</v>
      </c>
      <c r="B100" s="14" t="s">
        <v>103</v>
      </c>
      <c r="C100" s="14" t="s">
        <v>120</v>
      </c>
      <c r="D100" s="15" t="s">
        <v>121</v>
      </c>
      <c r="E100" s="18" t="s">
        <v>26</v>
      </c>
      <c r="F100" s="16"/>
      <c r="G100" s="14"/>
    </row>
    <row r="101" customFormat="false" ht="27.75" hidden="false" customHeight="true" outlineLevel="0" collapsed="false">
      <c r="A101" s="8" t="n">
        <v>86</v>
      </c>
      <c r="B101" s="9" t="s">
        <v>103</v>
      </c>
      <c r="C101" s="9" t="s">
        <v>120</v>
      </c>
      <c r="D101" s="10" t="s">
        <v>122</v>
      </c>
      <c r="E101" s="18" t="s">
        <v>26</v>
      </c>
      <c r="F101" s="12"/>
      <c r="G101" s="9"/>
    </row>
    <row r="102" customFormat="false" ht="27.75" hidden="false" customHeight="true" outlineLevel="0" collapsed="false">
      <c r="A102" s="13" t="n">
        <v>87</v>
      </c>
      <c r="B102" s="14" t="s">
        <v>103</v>
      </c>
      <c r="C102" s="14" t="s">
        <v>120</v>
      </c>
      <c r="D102" s="15" t="s">
        <v>123</v>
      </c>
      <c r="E102" s="18" t="s">
        <v>26</v>
      </c>
      <c r="F102" s="16"/>
      <c r="G102" s="14"/>
    </row>
    <row r="103" customFormat="false" ht="27.75" hidden="false" customHeight="true" outlineLevel="0" collapsed="false">
      <c r="A103" s="8" t="n">
        <v>88</v>
      </c>
      <c r="B103" s="9" t="s">
        <v>103</v>
      </c>
      <c r="C103" s="9" t="s">
        <v>120</v>
      </c>
      <c r="D103" s="10" t="s">
        <v>124</v>
      </c>
      <c r="E103" s="18" t="s">
        <v>26</v>
      </c>
      <c r="F103" s="12"/>
      <c r="G103" s="9"/>
    </row>
    <row r="104" customFormat="false" ht="27.75" hidden="false" customHeight="true" outlineLevel="0" collapsed="false">
      <c r="A104" s="13" t="n">
        <v>89</v>
      </c>
      <c r="B104" s="14" t="s">
        <v>103</v>
      </c>
      <c r="C104" s="14" t="s">
        <v>120</v>
      </c>
      <c r="D104" s="15" t="s">
        <v>125</v>
      </c>
      <c r="E104" s="19" t="s">
        <v>39</v>
      </c>
      <c r="F104" s="16"/>
      <c r="G104" s="14"/>
    </row>
    <row r="105" customFormat="false" ht="27.75" hidden="false" customHeight="true" outlineLevel="0" collapsed="false">
      <c r="A105" s="8" t="n">
        <v>90</v>
      </c>
      <c r="B105" s="9" t="s">
        <v>103</v>
      </c>
      <c r="C105" s="9" t="s">
        <v>120</v>
      </c>
      <c r="D105" s="10" t="s">
        <v>126</v>
      </c>
      <c r="E105" s="18" t="s">
        <v>26</v>
      </c>
      <c r="F105" s="12"/>
      <c r="G105" s="9"/>
    </row>
    <row r="106" customFormat="false" ht="27.75" hidden="false" customHeight="true" outlineLevel="0" collapsed="false">
      <c r="A106" s="13" t="n">
        <v>91</v>
      </c>
      <c r="B106" s="14" t="s">
        <v>103</v>
      </c>
      <c r="C106" s="14" t="s">
        <v>120</v>
      </c>
      <c r="D106" s="15" t="s">
        <v>127</v>
      </c>
      <c r="E106" s="18" t="s">
        <v>26</v>
      </c>
      <c r="F106" s="16"/>
      <c r="G106" s="14"/>
    </row>
    <row r="107" customFormat="false" ht="27.75" hidden="false" customHeight="true" outlineLevel="0" collapsed="false">
      <c r="A107" s="8" t="n">
        <v>92</v>
      </c>
      <c r="B107" s="9" t="s">
        <v>103</v>
      </c>
      <c r="C107" s="9" t="s">
        <v>120</v>
      </c>
      <c r="D107" s="10" t="s">
        <v>128</v>
      </c>
      <c r="E107" s="18" t="s">
        <v>26</v>
      </c>
      <c r="F107" s="12"/>
      <c r="G107" s="9"/>
    </row>
    <row r="108" customFormat="false" ht="27.75" hidden="false" customHeight="true" outlineLevel="0" collapsed="false">
      <c r="A108" s="13" t="n">
        <v>93</v>
      </c>
      <c r="B108" s="14" t="s">
        <v>103</v>
      </c>
      <c r="C108" s="14" t="s">
        <v>120</v>
      </c>
      <c r="D108" s="15" t="s">
        <v>129</v>
      </c>
      <c r="E108" s="19" t="s">
        <v>39</v>
      </c>
      <c r="F108" s="16"/>
      <c r="G108" s="14"/>
    </row>
    <row r="109" customFormat="false" ht="30" hidden="false" customHeight="true" outlineLevel="0" collapsed="false">
      <c r="A109" s="6" t="s">
        <v>130</v>
      </c>
      <c r="B109" s="6"/>
      <c r="C109" s="6"/>
      <c r="D109" s="6"/>
      <c r="E109" s="6"/>
      <c r="F109" s="6"/>
      <c r="G109" s="6"/>
    </row>
    <row r="110" customFormat="false" ht="25.5" hidden="false" customHeight="true" outlineLevel="0" collapsed="false">
      <c r="A110" s="7" t="s">
        <v>131</v>
      </c>
      <c r="B110" s="7"/>
      <c r="C110" s="7"/>
      <c r="D110" s="7"/>
      <c r="E110" s="7"/>
      <c r="F110" s="7"/>
      <c r="G110" s="7"/>
    </row>
    <row r="111" customFormat="false" ht="27.75" hidden="false" customHeight="true" outlineLevel="0" collapsed="false">
      <c r="A111" s="8" t="n">
        <v>94</v>
      </c>
      <c r="B111" s="9" t="s">
        <v>132</v>
      </c>
      <c r="C111" s="9" t="s">
        <v>133</v>
      </c>
      <c r="D111" s="10" t="s">
        <v>134</v>
      </c>
      <c r="E111" s="17" t="s">
        <v>19</v>
      </c>
      <c r="F111" s="12"/>
      <c r="G111" s="9"/>
    </row>
    <row r="112" customFormat="false" ht="27.75" hidden="false" customHeight="true" outlineLevel="0" collapsed="false">
      <c r="A112" s="13" t="n">
        <v>95</v>
      </c>
      <c r="B112" s="14" t="s">
        <v>132</v>
      </c>
      <c r="C112" s="14" t="s">
        <v>133</v>
      </c>
      <c r="D112" s="15" t="s">
        <v>135</v>
      </c>
      <c r="E112" s="17" t="s">
        <v>19</v>
      </c>
      <c r="F112" s="16"/>
      <c r="G112" s="14"/>
    </row>
    <row r="113" customFormat="false" ht="27.75" hidden="false" customHeight="true" outlineLevel="0" collapsed="false">
      <c r="A113" s="8" t="n">
        <v>96</v>
      </c>
      <c r="B113" s="9" t="s">
        <v>132</v>
      </c>
      <c r="C113" s="9" t="s">
        <v>133</v>
      </c>
      <c r="D113" s="10" t="s">
        <v>136</v>
      </c>
      <c r="E113" s="17" t="s">
        <v>19</v>
      </c>
      <c r="F113" s="12"/>
      <c r="G113" s="9"/>
    </row>
    <row r="114" customFormat="false" ht="27.75" hidden="false" customHeight="true" outlineLevel="0" collapsed="false">
      <c r="A114" s="13" t="n">
        <v>97</v>
      </c>
      <c r="B114" s="14" t="s">
        <v>132</v>
      </c>
      <c r="C114" s="14" t="s">
        <v>133</v>
      </c>
      <c r="D114" s="15" t="s">
        <v>137</v>
      </c>
      <c r="E114" s="18" t="s">
        <v>26</v>
      </c>
      <c r="F114" s="16"/>
      <c r="G114" s="14"/>
    </row>
    <row r="115" customFormat="false" ht="27.75" hidden="false" customHeight="true" outlineLevel="0" collapsed="false">
      <c r="A115" s="8" t="n">
        <v>98</v>
      </c>
      <c r="B115" s="9" t="s">
        <v>132</v>
      </c>
      <c r="C115" s="9" t="s">
        <v>133</v>
      </c>
      <c r="D115" s="10" t="s">
        <v>138</v>
      </c>
      <c r="E115" s="17" t="s">
        <v>19</v>
      </c>
      <c r="F115" s="12"/>
      <c r="G115" s="9"/>
    </row>
    <row r="116" customFormat="false" ht="27.75" hidden="false" customHeight="true" outlineLevel="0" collapsed="false">
      <c r="A116" s="13" t="n">
        <v>99</v>
      </c>
      <c r="B116" s="14" t="s">
        <v>132</v>
      </c>
      <c r="C116" s="14" t="s">
        <v>133</v>
      </c>
      <c r="D116" s="15" t="s">
        <v>139</v>
      </c>
      <c r="E116" s="18" t="s">
        <v>26</v>
      </c>
      <c r="F116" s="16"/>
      <c r="G116" s="14"/>
    </row>
    <row r="117" customFormat="false" ht="25.5" hidden="false" customHeight="true" outlineLevel="0" collapsed="false">
      <c r="A117" s="7" t="s">
        <v>140</v>
      </c>
      <c r="B117" s="7"/>
      <c r="C117" s="7"/>
      <c r="D117" s="7"/>
      <c r="E117" s="7"/>
      <c r="F117" s="7"/>
      <c r="G117" s="7"/>
    </row>
    <row r="118" customFormat="false" ht="27.75" hidden="false" customHeight="true" outlineLevel="0" collapsed="false">
      <c r="A118" s="13" t="n">
        <v>100</v>
      </c>
      <c r="B118" s="14" t="s">
        <v>132</v>
      </c>
      <c r="C118" s="14" t="s">
        <v>141</v>
      </c>
      <c r="D118" s="15" t="s">
        <v>142</v>
      </c>
      <c r="E118" s="17" t="s">
        <v>19</v>
      </c>
      <c r="F118" s="16"/>
      <c r="G118" s="14"/>
    </row>
    <row r="119" customFormat="false" ht="27.75" hidden="false" customHeight="true" outlineLevel="0" collapsed="false">
      <c r="A119" s="8" t="n">
        <v>101</v>
      </c>
      <c r="B119" s="9" t="s">
        <v>132</v>
      </c>
      <c r="C119" s="9" t="s">
        <v>141</v>
      </c>
      <c r="D119" s="10" t="s">
        <v>143</v>
      </c>
      <c r="E119" s="17" t="s">
        <v>19</v>
      </c>
      <c r="F119" s="12"/>
      <c r="G119" s="9"/>
    </row>
    <row r="120" customFormat="false" ht="27.75" hidden="false" customHeight="true" outlineLevel="0" collapsed="false">
      <c r="A120" s="13" t="n">
        <v>102</v>
      </c>
      <c r="B120" s="14" t="s">
        <v>132</v>
      </c>
      <c r="C120" s="14" t="s">
        <v>141</v>
      </c>
      <c r="D120" s="15" t="s">
        <v>144</v>
      </c>
      <c r="E120" s="17" t="s">
        <v>19</v>
      </c>
      <c r="F120" s="16"/>
      <c r="G120" s="14"/>
    </row>
    <row r="121" customFormat="false" ht="27.75" hidden="false" customHeight="true" outlineLevel="0" collapsed="false">
      <c r="A121" s="8" t="n">
        <v>103</v>
      </c>
      <c r="B121" s="9" t="s">
        <v>132</v>
      </c>
      <c r="C121" s="9" t="s">
        <v>141</v>
      </c>
      <c r="D121" s="10" t="s">
        <v>145</v>
      </c>
      <c r="E121" s="18" t="s">
        <v>26</v>
      </c>
      <c r="F121" s="12"/>
      <c r="G121" s="9"/>
    </row>
    <row r="122" customFormat="false" ht="27.75" hidden="false" customHeight="true" outlineLevel="0" collapsed="false">
      <c r="A122" s="13" t="n">
        <v>104</v>
      </c>
      <c r="B122" s="14" t="s">
        <v>132</v>
      </c>
      <c r="C122" s="14" t="s">
        <v>141</v>
      </c>
      <c r="D122" s="15" t="s">
        <v>146</v>
      </c>
      <c r="E122" s="17" t="s">
        <v>19</v>
      </c>
      <c r="F122" s="16"/>
      <c r="G122" s="14"/>
    </row>
    <row r="123" customFormat="false" ht="27.75" hidden="false" customHeight="true" outlineLevel="0" collapsed="false">
      <c r="A123" s="8" t="n">
        <v>105</v>
      </c>
      <c r="B123" s="9" t="s">
        <v>132</v>
      </c>
      <c r="C123" s="9" t="s">
        <v>141</v>
      </c>
      <c r="D123" s="10" t="s">
        <v>147</v>
      </c>
      <c r="E123" s="17" t="s">
        <v>19</v>
      </c>
      <c r="F123" s="12"/>
      <c r="G123" s="9"/>
    </row>
    <row r="124" customFormat="false" ht="27.75" hidden="false" customHeight="true" outlineLevel="0" collapsed="false">
      <c r="A124" s="13" t="n">
        <v>106</v>
      </c>
      <c r="B124" s="14" t="s">
        <v>132</v>
      </c>
      <c r="C124" s="14" t="s">
        <v>141</v>
      </c>
      <c r="D124" s="15" t="s">
        <v>148</v>
      </c>
      <c r="E124" s="17" t="s">
        <v>19</v>
      </c>
      <c r="F124" s="16"/>
      <c r="G124" s="14"/>
    </row>
    <row r="125" customFormat="false" ht="27.75" hidden="false" customHeight="true" outlineLevel="0" collapsed="false">
      <c r="A125" s="8" t="n">
        <v>107</v>
      </c>
      <c r="B125" s="9" t="s">
        <v>132</v>
      </c>
      <c r="C125" s="9" t="s">
        <v>141</v>
      </c>
      <c r="D125" s="10" t="s">
        <v>149</v>
      </c>
      <c r="E125" s="17" t="s">
        <v>19</v>
      </c>
      <c r="F125" s="12"/>
      <c r="G125" s="9"/>
    </row>
    <row r="126" customFormat="false" ht="27.75" hidden="false" customHeight="true" outlineLevel="0" collapsed="false">
      <c r="A126" s="13" t="n">
        <v>108</v>
      </c>
      <c r="B126" s="14" t="s">
        <v>132</v>
      </c>
      <c r="C126" s="14" t="s">
        <v>141</v>
      </c>
      <c r="D126" s="15" t="s">
        <v>150</v>
      </c>
      <c r="E126" s="17" t="s">
        <v>19</v>
      </c>
      <c r="F126" s="16"/>
      <c r="G126" s="14"/>
    </row>
    <row r="127" customFormat="false" ht="27.75" hidden="false" customHeight="true" outlineLevel="0" collapsed="false">
      <c r="A127" s="8" t="n">
        <v>109</v>
      </c>
      <c r="B127" s="9" t="s">
        <v>132</v>
      </c>
      <c r="C127" s="9" t="s">
        <v>141</v>
      </c>
      <c r="D127" s="10" t="s">
        <v>151</v>
      </c>
      <c r="E127" s="18" t="s">
        <v>26</v>
      </c>
      <c r="F127" s="12"/>
      <c r="G127" s="9"/>
    </row>
    <row r="128" customFormat="false" ht="27.75" hidden="false" customHeight="true" outlineLevel="0" collapsed="false">
      <c r="A128" s="13" t="n">
        <v>110</v>
      </c>
      <c r="B128" s="14" t="s">
        <v>132</v>
      </c>
      <c r="C128" s="14" t="s">
        <v>141</v>
      </c>
      <c r="D128" s="15" t="s">
        <v>152</v>
      </c>
      <c r="E128" s="17" t="s">
        <v>19</v>
      </c>
      <c r="F128" s="16"/>
      <c r="G128" s="14"/>
    </row>
    <row r="129" customFormat="false" ht="27.75" hidden="false" customHeight="true" outlineLevel="0" collapsed="false">
      <c r="A129" s="8" t="n">
        <v>111</v>
      </c>
      <c r="B129" s="9" t="s">
        <v>132</v>
      </c>
      <c r="C129" s="9" t="s">
        <v>141</v>
      </c>
      <c r="D129" s="10" t="s">
        <v>153</v>
      </c>
      <c r="E129" s="18" t="s">
        <v>26</v>
      </c>
      <c r="F129" s="12"/>
      <c r="G129" s="9"/>
    </row>
    <row r="130" customFormat="false" ht="27.75" hidden="false" customHeight="true" outlineLevel="0" collapsed="false">
      <c r="A130" s="13" t="n">
        <v>112</v>
      </c>
      <c r="B130" s="14" t="s">
        <v>132</v>
      </c>
      <c r="C130" s="14" t="s">
        <v>141</v>
      </c>
      <c r="D130" s="15" t="s">
        <v>154</v>
      </c>
      <c r="E130" s="18" t="s">
        <v>26</v>
      </c>
      <c r="F130" s="16"/>
      <c r="G130" s="14"/>
    </row>
    <row r="131" customFormat="false" ht="30" hidden="false" customHeight="true" outlineLevel="0" collapsed="false">
      <c r="A131" s="6" t="s">
        <v>155</v>
      </c>
      <c r="B131" s="6"/>
      <c r="C131" s="6"/>
      <c r="D131" s="6"/>
      <c r="E131" s="6"/>
      <c r="F131" s="6"/>
      <c r="G131" s="6"/>
    </row>
    <row r="132" customFormat="false" ht="25.5" hidden="false" customHeight="true" outlineLevel="0" collapsed="false">
      <c r="A132" s="7" t="s">
        <v>156</v>
      </c>
      <c r="B132" s="7"/>
      <c r="C132" s="7"/>
      <c r="D132" s="7"/>
      <c r="E132" s="7"/>
      <c r="F132" s="7"/>
      <c r="G132" s="7"/>
    </row>
    <row r="133" customFormat="false" ht="27.75" hidden="false" customHeight="true" outlineLevel="0" collapsed="false">
      <c r="A133" s="8" t="n">
        <v>113</v>
      </c>
      <c r="B133" s="9" t="s">
        <v>157</v>
      </c>
      <c r="C133" s="9" t="s">
        <v>158</v>
      </c>
      <c r="D133" s="10" t="s">
        <v>159</v>
      </c>
      <c r="E133" s="11" t="s">
        <v>15</v>
      </c>
      <c r="F133" s="12"/>
      <c r="G133" s="9"/>
    </row>
    <row r="134" customFormat="false" ht="27.75" hidden="false" customHeight="true" outlineLevel="0" collapsed="false">
      <c r="A134" s="13" t="n">
        <v>114</v>
      </c>
      <c r="B134" s="14" t="s">
        <v>157</v>
      </c>
      <c r="C134" s="14" t="s">
        <v>158</v>
      </c>
      <c r="D134" s="15" t="s">
        <v>160</v>
      </c>
      <c r="E134" s="11" t="s">
        <v>15</v>
      </c>
      <c r="F134" s="16"/>
      <c r="G134" s="14"/>
    </row>
    <row r="135" customFormat="false" ht="27.75" hidden="false" customHeight="true" outlineLevel="0" collapsed="false">
      <c r="A135" s="8" t="n">
        <v>115</v>
      </c>
      <c r="B135" s="9" t="s">
        <v>157</v>
      </c>
      <c r="C135" s="9" t="s">
        <v>158</v>
      </c>
      <c r="D135" s="10" t="s">
        <v>161</v>
      </c>
      <c r="E135" s="17" t="s">
        <v>19</v>
      </c>
      <c r="F135" s="12"/>
      <c r="G135" s="9"/>
    </row>
    <row r="136" customFormat="false" ht="27.75" hidden="false" customHeight="true" outlineLevel="0" collapsed="false">
      <c r="A136" s="13" t="n">
        <v>116</v>
      </c>
      <c r="B136" s="14" t="s">
        <v>157</v>
      </c>
      <c r="C136" s="14" t="s">
        <v>158</v>
      </c>
      <c r="D136" s="15" t="s">
        <v>162</v>
      </c>
      <c r="E136" s="17" t="s">
        <v>19</v>
      </c>
      <c r="F136" s="16"/>
      <c r="G136" s="14"/>
    </row>
    <row r="137" customFormat="false" ht="27.75" hidden="false" customHeight="true" outlineLevel="0" collapsed="false">
      <c r="A137" s="8" t="n">
        <v>117</v>
      </c>
      <c r="B137" s="9" t="s">
        <v>157</v>
      </c>
      <c r="C137" s="9" t="s">
        <v>158</v>
      </c>
      <c r="D137" s="10" t="s">
        <v>163</v>
      </c>
      <c r="E137" s="17" t="s">
        <v>19</v>
      </c>
      <c r="F137" s="12"/>
      <c r="G137" s="9"/>
    </row>
    <row r="138" customFormat="false" ht="27.75" hidden="false" customHeight="true" outlineLevel="0" collapsed="false">
      <c r="A138" s="13" t="n">
        <v>118</v>
      </c>
      <c r="B138" s="14" t="s">
        <v>157</v>
      </c>
      <c r="C138" s="14" t="s">
        <v>158</v>
      </c>
      <c r="D138" s="15" t="s">
        <v>164</v>
      </c>
      <c r="E138" s="11" t="s">
        <v>15</v>
      </c>
      <c r="F138" s="16"/>
      <c r="G138" s="14"/>
    </row>
    <row r="139" customFormat="false" ht="27.75" hidden="false" customHeight="true" outlineLevel="0" collapsed="false">
      <c r="A139" s="8" t="n">
        <v>119</v>
      </c>
      <c r="B139" s="9" t="s">
        <v>157</v>
      </c>
      <c r="C139" s="9" t="s">
        <v>158</v>
      </c>
      <c r="D139" s="10" t="s">
        <v>165</v>
      </c>
      <c r="E139" s="17" t="s">
        <v>19</v>
      </c>
      <c r="F139" s="12"/>
      <c r="G139" s="9"/>
    </row>
    <row r="140" customFormat="false" ht="27.75" hidden="false" customHeight="true" outlineLevel="0" collapsed="false">
      <c r="A140" s="13" t="n">
        <v>120</v>
      </c>
      <c r="B140" s="14" t="s">
        <v>157</v>
      </c>
      <c r="C140" s="14" t="s">
        <v>158</v>
      </c>
      <c r="D140" s="15" t="s">
        <v>166</v>
      </c>
      <c r="E140" s="18" t="s">
        <v>26</v>
      </c>
      <c r="F140" s="16"/>
      <c r="G140" s="14"/>
    </row>
    <row r="141" customFormat="false" ht="25.5" hidden="false" customHeight="true" outlineLevel="0" collapsed="false">
      <c r="A141" s="7" t="s">
        <v>167</v>
      </c>
      <c r="B141" s="7"/>
      <c r="C141" s="7"/>
      <c r="D141" s="7"/>
      <c r="E141" s="7"/>
      <c r="F141" s="7"/>
      <c r="G141" s="7"/>
    </row>
    <row r="142" customFormat="false" ht="27.75" hidden="false" customHeight="true" outlineLevel="0" collapsed="false">
      <c r="A142" s="13" t="n">
        <v>121</v>
      </c>
      <c r="B142" s="14" t="s">
        <v>157</v>
      </c>
      <c r="C142" s="14" t="s">
        <v>168</v>
      </c>
      <c r="D142" s="15" t="s">
        <v>169</v>
      </c>
      <c r="E142" s="17" t="s">
        <v>19</v>
      </c>
      <c r="F142" s="16"/>
      <c r="G142" s="14"/>
    </row>
    <row r="143" customFormat="false" ht="27.75" hidden="false" customHeight="true" outlineLevel="0" collapsed="false">
      <c r="A143" s="8" t="n">
        <v>122</v>
      </c>
      <c r="B143" s="9" t="s">
        <v>157</v>
      </c>
      <c r="C143" s="9" t="s">
        <v>168</v>
      </c>
      <c r="D143" s="10" t="s">
        <v>170</v>
      </c>
      <c r="E143" s="17" t="s">
        <v>19</v>
      </c>
      <c r="F143" s="12"/>
      <c r="G143" s="9"/>
    </row>
    <row r="144" customFormat="false" ht="27.75" hidden="false" customHeight="true" outlineLevel="0" collapsed="false">
      <c r="A144" s="13" t="n">
        <v>123</v>
      </c>
      <c r="B144" s="14" t="s">
        <v>157</v>
      </c>
      <c r="C144" s="14" t="s">
        <v>168</v>
      </c>
      <c r="D144" s="15" t="s">
        <v>171</v>
      </c>
      <c r="E144" s="17" t="s">
        <v>19</v>
      </c>
      <c r="F144" s="16"/>
      <c r="G144" s="14"/>
    </row>
    <row r="145" customFormat="false" ht="27.75" hidden="false" customHeight="true" outlineLevel="0" collapsed="false">
      <c r="A145" s="8" t="n">
        <v>124</v>
      </c>
      <c r="B145" s="9" t="s">
        <v>157</v>
      </c>
      <c r="C145" s="9" t="s">
        <v>168</v>
      </c>
      <c r="D145" s="10" t="s">
        <v>172</v>
      </c>
      <c r="E145" s="17" t="s">
        <v>19</v>
      </c>
      <c r="F145" s="12"/>
      <c r="G145" s="9"/>
    </row>
    <row r="146" customFormat="false" ht="27.75" hidden="false" customHeight="true" outlineLevel="0" collapsed="false">
      <c r="A146" s="13" t="n">
        <v>125</v>
      </c>
      <c r="B146" s="14" t="s">
        <v>157</v>
      </c>
      <c r="C146" s="14" t="s">
        <v>168</v>
      </c>
      <c r="D146" s="15" t="s">
        <v>173</v>
      </c>
      <c r="E146" s="17" t="s">
        <v>19</v>
      </c>
      <c r="F146" s="16"/>
      <c r="G146" s="14"/>
    </row>
    <row r="147" customFormat="false" ht="27.75" hidden="false" customHeight="true" outlineLevel="0" collapsed="false">
      <c r="A147" s="8" t="n">
        <v>126</v>
      </c>
      <c r="B147" s="9" t="s">
        <v>157</v>
      </c>
      <c r="C147" s="9" t="s">
        <v>168</v>
      </c>
      <c r="D147" s="10" t="s">
        <v>174</v>
      </c>
      <c r="E147" s="17" t="s">
        <v>19</v>
      </c>
      <c r="F147" s="12"/>
      <c r="G147" s="9"/>
    </row>
    <row r="148" customFormat="false" ht="27.75" hidden="false" customHeight="true" outlineLevel="0" collapsed="false">
      <c r="A148" s="13" t="n">
        <v>127</v>
      </c>
      <c r="B148" s="14" t="s">
        <v>157</v>
      </c>
      <c r="C148" s="14" t="s">
        <v>168</v>
      </c>
      <c r="D148" s="15" t="s">
        <v>175</v>
      </c>
      <c r="E148" s="18" t="s">
        <v>26</v>
      </c>
      <c r="F148" s="16"/>
      <c r="G148" s="14"/>
    </row>
    <row r="149" customFormat="false" ht="27.75" hidden="false" customHeight="true" outlineLevel="0" collapsed="false">
      <c r="A149" s="8" t="n">
        <v>128</v>
      </c>
      <c r="B149" s="9" t="s">
        <v>157</v>
      </c>
      <c r="C149" s="9" t="s">
        <v>168</v>
      </c>
      <c r="D149" s="10" t="s">
        <v>176</v>
      </c>
      <c r="E149" s="17" t="s">
        <v>19</v>
      </c>
      <c r="F149" s="12"/>
      <c r="G149" s="9"/>
    </row>
    <row r="150" customFormat="false" ht="27.75" hidden="false" customHeight="true" outlineLevel="0" collapsed="false">
      <c r="A150" s="13" t="n">
        <v>129</v>
      </c>
      <c r="B150" s="14" t="s">
        <v>157</v>
      </c>
      <c r="C150" s="14" t="s">
        <v>168</v>
      </c>
      <c r="D150" s="15" t="s">
        <v>177</v>
      </c>
      <c r="E150" s="17" t="s">
        <v>19</v>
      </c>
      <c r="F150" s="16"/>
      <c r="G150" s="14"/>
    </row>
    <row r="151" customFormat="false" ht="27.75" hidden="false" customHeight="true" outlineLevel="0" collapsed="false">
      <c r="A151" s="8" t="n">
        <v>130</v>
      </c>
      <c r="B151" s="9" t="s">
        <v>157</v>
      </c>
      <c r="C151" s="9" t="s">
        <v>168</v>
      </c>
      <c r="D151" s="10" t="s">
        <v>178</v>
      </c>
      <c r="E151" s="18" t="s">
        <v>26</v>
      </c>
      <c r="F151" s="12"/>
      <c r="G151" s="9"/>
    </row>
    <row r="152" customFormat="false" ht="27.75" hidden="false" customHeight="true" outlineLevel="0" collapsed="false">
      <c r="A152" s="13" t="n">
        <v>131</v>
      </c>
      <c r="B152" s="14" t="s">
        <v>157</v>
      </c>
      <c r="C152" s="14" t="s">
        <v>168</v>
      </c>
      <c r="D152" s="15" t="s">
        <v>179</v>
      </c>
      <c r="E152" s="18" t="s">
        <v>26</v>
      </c>
      <c r="F152" s="16"/>
      <c r="G152" s="14"/>
    </row>
    <row r="153" customFormat="false" ht="25.5" hidden="false" customHeight="true" outlineLevel="0" collapsed="false">
      <c r="A153" s="7" t="s">
        <v>180</v>
      </c>
      <c r="B153" s="7"/>
      <c r="C153" s="7"/>
      <c r="D153" s="7"/>
      <c r="E153" s="7"/>
      <c r="F153" s="7"/>
      <c r="G153" s="7"/>
    </row>
    <row r="154" customFormat="false" ht="27.75" hidden="false" customHeight="true" outlineLevel="0" collapsed="false">
      <c r="A154" s="13" t="n">
        <v>132</v>
      </c>
      <c r="B154" s="14" t="s">
        <v>157</v>
      </c>
      <c r="C154" s="14" t="s">
        <v>181</v>
      </c>
      <c r="D154" s="15" t="s">
        <v>182</v>
      </c>
      <c r="E154" s="11" t="s">
        <v>15</v>
      </c>
      <c r="F154" s="16"/>
      <c r="G154" s="14"/>
    </row>
    <row r="155" customFormat="false" ht="27.75" hidden="false" customHeight="true" outlineLevel="0" collapsed="false">
      <c r="A155" s="8" t="n">
        <v>133</v>
      </c>
      <c r="B155" s="9" t="s">
        <v>157</v>
      </c>
      <c r="C155" s="9" t="s">
        <v>181</v>
      </c>
      <c r="D155" s="10" t="s">
        <v>183</v>
      </c>
      <c r="E155" s="11" t="s">
        <v>15</v>
      </c>
      <c r="F155" s="12"/>
      <c r="G155" s="9"/>
    </row>
    <row r="156" customFormat="false" ht="27.75" hidden="false" customHeight="true" outlineLevel="0" collapsed="false">
      <c r="A156" s="13" t="n">
        <v>134</v>
      </c>
      <c r="B156" s="14" t="s">
        <v>157</v>
      </c>
      <c r="C156" s="14" t="s">
        <v>181</v>
      </c>
      <c r="D156" s="15" t="s">
        <v>184</v>
      </c>
      <c r="E156" s="11" t="s">
        <v>15</v>
      </c>
      <c r="F156" s="16"/>
      <c r="G156" s="14"/>
    </row>
    <row r="157" customFormat="false" ht="27.75" hidden="false" customHeight="true" outlineLevel="0" collapsed="false">
      <c r="A157" s="8" t="n">
        <v>135</v>
      </c>
      <c r="B157" s="9" t="s">
        <v>157</v>
      </c>
      <c r="C157" s="9" t="s">
        <v>181</v>
      </c>
      <c r="D157" s="10" t="s">
        <v>185</v>
      </c>
      <c r="E157" s="17" t="s">
        <v>19</v>
      </c>
      <c r="F157" s="12"/>
      <c r="G157" s="9"/>
    </row>
    <row r="158" customFormat="false" ht="27.75" hidden="false" customHeight="true" outlineLevel="0" collapsed="false">
      <c r="A158" s="13" t="n">
        <v>136</v>
      </c>
      <c r="B158" s="14" t="s">
        <v>157</v>
      </c>
      <c r="C158" s="14" t="s">
        <v>181</v>
      </c>
      <c r="D158" s="15" t="s">
        <v>186</v>
      </c>
      <c r="E158" s="17" t="s">
        <v>19</v>
      </c>
      <c r="F158" s="16"/>
      <c r="G158" s="14"/>
    </row>
    <row r="159" customFormat="false" ht="27.75" hidden="false" customHeight="true" outlineLevel="0" collapsed="false">
      <c r="A159" s="8" t="n">
        <v>137</v>
      </c>
      <c r="B159" s="9" t="s">
        <v>157</v>
      </c>
      <c r="C159" s="9" t="s">
        <v>181</v>
      </c>
      <c r="D159" s="10" t="s">
        <v>187</v>
      </c>
      <c r="E159" s="19" t="s">
        <v>39</v>
      </c>
      <c r="F159" s="12"/>
      <c r="G159" s="9"/>
    </row>
    <row r="160" customFormat="false" ht="27.75" hidden="false" customHeight="true" outlineLevel="0" collapsed="false">
      <c r="A160" s="13" t="n">
        <v>138</v>
      </c>
      <c r="B160" s="14" t="s">
        <v>157</v>
      </c>
      <c r="C160" s="14" t="s">
        <v>181</v>
      </c>
      <c r="D160" s="15" t="s">
        <v>188</v>
      </c>
      <c r="E160" s="11" t="s">
        <v>15</v>
      </c>
      <c r="F160" s="16"/>
      <c r="G160" s="14"/>
    </row>
    <row r="161" customFormat="false" ht="27.75" hidden="false" customHeight="true" outlineLevel="0" collapsed="false">
      <c r="A161" s="8" t="n">
        <v>139</v>
      </c>
      <c r="B161" s="9" t="s">
        <v>157</v>
      </c>
      <c r="C161" s="9" t="s">
        <v>181</v>
      </c>
      <c r="D161" s="10" t="s">
        <v>189</v>
      </c>
      <c r="E161" s="17" t="s">
        <v>19</v>
      </c>
      <c r="F161" s="12"/>
      <c r="G161" s="9"/>
    </row>
    <row r="162" customFormat="false" ht="27.75" hidden="false" customHeight="true" outlineLevel="0" collapsed="false">
      <c r="A162" s="13" t="n">
        <v>140</v>
      </c>
      <c r="B162" s="14" t="s">
        <v>157</v>
      </c>
      <c r="C162" s="14" t="s">
        <v>181</v>
      </c>
      <c r="D162" s="15" t="s">
        <v>190</v>
      </c>
      <c r="E162" s="18" t="s">
        <v>26</v>
      </c>
      <c r="F162" s="16"/>
      <c r="G162" s="14"/>
    </row>
    <row r="163" customFormat="false" ht="27.75" hidden="false" customHeight="true" outlineLevel="0" collapsed="false">
      <c r="A163" s="8" t="n">
        <v>141</v>
      </c>
      <c r="B163" s="9" t="s">
        <v>157</v>
      </c>
      <c r="C163" s="9" t="s">
        <v>181</v>
      </c>
      <c r="D163" s="10" t="s">
        <v>191</v>
      </c>
      <c r="E163" s="17" t="s">
        <v>19</v>
      </c>
      <c r="F163" s="12"/>
      <c r="G163" s="9"/>
    </row>
    <row r="164" customFormat="false" ht="27.75" hidden="false" customHeight="true" outlineLevel="0" collapsed="false">
      <c r="A164" s="13" t="n">
        <v>142</v>
      </c>
      <c r="B164" s="14" t="s">
        <v>157</v>
      </c>
      <c r="C164" s="14" t="s">
        <v>181</v>
      </c>
      <c r="D164" s="15" t="s">
        <v>192</v>
      </c>
      <c r="E164" s="18" t="s">
        <v>26</v>
      </c>
      <c r="F164" s="16"/>
      <c r="G164" s="14"/>
    </row>
    <row r="165" customFormat="false" ht="27.75" hidden="false" customHeight="true" outlineLevel="0" collapsed="false">
      <c r="A165" s="8" t="n">
        <v>143</v>
      </c>
      <c r="B165" s="9" t="s">
        <v>157</v>
      </c>
      <c r="C165" s="9" t="s">
        <v>181</v>
      </c>
      <c r="D165" s="10" t="s">
        <v>193</v>
      </c>
      <c r="E165" s="18" t="s">
        <v>26</v>
      </c>
      <c r="F165" s="12"/>
      <c r="G165" s="9"/>
    </row>
    <row r="166" customFormat="false" ht="27.75" hidden="false" customHeight="true" outlineLevel="0" collapsed="false">
      <c r="A166" s="13" t="n">
        <v>144</v>
      </c>
      <c r="B166" s="14" t="s">
        <v>157</v>
      </c>
      <c r="C166" s="14" t="s">
        <v>181</v>
      </c>
      <c r="D166" s="15" t="s">
        <v>194</v>
      </c>
      <c r="E166" s="17" t="s">
        <v>19</v>
      </c>
      <c r="F166" s="16"/>
      <c r="G166" s="14"/>
    </row>
    <row r="167" customFormat="false" ht="27.75" hidden="false" customHeight="true" outlineLevel="0" collapsed="false">
      <c r="A167" s="8" t="n">
        <v>146</v>
      </c>
      <c r="B167" s="9" t="s">
        <v>157</v>
      </c>
      <c r="C167" s="9" t="s">
        <v>181</v>
      </c>
      <c r="D167" s="10" t="s">
        <v>195</v>
      </c>
      <c r="E167" s="17" t="s">
        <v>19</v>
      </c>
      <c r="F167" s="12"/>
      <c r="G167" s="9"/>
    </row>
    <row r="168" customFormat="false" ht="27.75" hidden="false" customHeight="true" outlineLevel="0" collapsed="false">
      <c r="A168" s="13" t="n">
        <v>147</v>
      </c>
      <c r="B168" s="14" t="s">
        <v>157</v>
      </c>
      <c r="C168" s="14" t="s">
        <v>181</v>
      </c>
      <c r="D168" s="15" t="s">
        <v>196</v>
      </c>
      <c r="E168" s="18" t="s">
        <v>26</v>
      </c>
      <c r="F168" s="16"/>
      <c r="G168" s="14"/>
    </row>
    <row r="169" customFormat="false" ht="27.75" hidden="false" customHeight="true" outlineLevel="0" collapsed="false">
      <c r="A169" s="8" t="n">
        <v>148</v>
      </c>
      <c r="B169" s="9" t="s">
        <v>157</v>
      </c>
      <c r="C169" s="9" t="s">
        <v>181</v>
      </c>
      <c r="D169" s="10" t="s">
        <v>197</v>
      </c>
      <c r="E169" s="17" t="s">
        <v>19</v>
      </c>
      <c r="F169" s="12"/>
      <c r="G169" s="9"/>
    </row>
    <row r="170" customFormat="false" ht="27.75" hidden="false" customHeight="true" outlineLevel="0" collapsed="false">
      <c r="A170" s="13" t="n">
        <v>149</v>
      </c>
      <c r="B170" s="14" t="s">
        <v>157</v>
      </c>
      <c r="C170" s="14" t="s">
        <v>181</v>
      </c>
      <c r="D170" s="15" t="s">
        <v>198</v>
      </c>
      <c r="E170" s="19" t="s">
        <v>39</v>
      </c>
      <c r="F170" s="16"/>
      <c r="G170" s="14"/>
    </row>
    <row r="171" customFormat="false" ht="25.5" hidden="false" customHeight="true" outlineLevel="0" collapsed="false">
      <c r="A171" s="7" t="s">
        <v>199</v>
      </c>
      <c r="B171" s="7"/>
      <c r="C171" s="7"/>
      <c r="D171" s="7"/>
      <c r="E171" s="7"/>
      <c r="F171" s="7"/>
      <c r="G171" s="7"/>
    </row>
    <row r="172" customFormat="false" ht="27.75" hidden="false" customHeight="true" outlineLevel="0" collapsed="false">
      <c r="A172" s="13" t="n">
        <v>150</v>
      </c>
      <c r="B172" s="14" t="s">
        <v>157</v>
      </c>
      <c r="C172" s="14" t="s">
        <v>200</v>
      </c>
      <c r="D172" s="15" t="s">
        <v>201</v>
      </c>
      <c r="E172" s="18" t="s">
        <v>26</v>
      </c>
      <c r="F172" s="16"/>
      <c r="G172" s="14"/>
    </row>
    <row r="173" customFormat="false" ht="27.75" hidden="false" customHeight="true" outlineLevel="0" collapsed="false">
      <c r="A173" s="8" t="n">
        <v>151</v>
      </c>
      <c r="B173" s="9" t="s">
        <v>157</v>
      </c>
      <c r="C173" s="9" t="s">
        <v>200</v>
      </c>
      <c r="D173" s="10" t="s">
        <v>202</v>
      </c>
      <c r="E173" s="18" t="s">
        <v>26</v>
      </c>
      <c r="F173" s="12"/>
      <c r="G173" s="9"/>
    </row>
    <row r="174" customFormat="false" ht="27.75" hidden="false" customHeight="true" outlineLevel="0" collapsed="false">
      <c r="A174" s="13" t="n">
        <v>152</v>
      </c>
      <c r="B174" s="14" t="s">
        <v>157</v>
      </c>
      <c r="C174" s="14" t="s">
        <v>200</v>
      </c>
      <c r="D174" s="15" t="s">
        <v>203</v>
      </c>
      <c r="E174" s="19" t="s">
        <v>39</v>
      </c>
      <c r="F174" s="16"/>
      <c r="G174" s="14"/>
    </row>
    <row r="175" customFormat="false" ht="27.75" hidden="false" customHeight="true" outlineLevel="0" collapsed="false">
      <c r="A175" s="8" t="n">
        <v>153</v>
      </c>
      <c r="B175" s="9" t="s">
        <v>157</v>
      </c>
      <c r="C175" s="9" t="s">
        <v>200</v>
      </c>
      <c r="D175" s="10" t="s">
        <v>204</v>
      </c>
      <c r="E175" s="18" t="s">
        <v>26</v>
      </c>
      <c r="F175" s="12"/>
      <c r="G175" s="9"/>
    </row>
    <row r="176" customFormat="false" ht="25.5" hidden="false" customHeight="true" outlineLevel="0" collapsed="false">
      <c r="A176" s="7" t="s">
        <v>205</v>
      </c>
      <c r="B176" s="7"/>
      <c r="C176" s="7"/>
      <c r="D176" s="7"/>
      <c r="E176" s="7"/>
      <c r="F176" s="7"/>
      <c r="G176" s="7"/>
    </row>
    <row r="177" customFormat="false" ht="27.75" hidden="false" customHeight="true" outlineLevel="0" collapsed="false">
      <c r="A177" s="8" t="n">
        <v>154</v>
      </c>
      <c r="B177" s="9" t="s">
        <v>157</v>
      </c>
      <c r="C177" s="9" t="s">
        <v>206</v>
      </c>
      <c r="D177" s="10" t="s">
        <v>207</v>
      </c>
      <c r="E177" s="18" t="s">
        <v>26</v>
      </c>
      <c r="F177" s="12"/>
      <c r="G177" s="9"/>
    </row>
    <row r="178" customFormat="false" ht="27.75" hidden="false" customHeight="true" outlineLevel="0" collapsed="false">
      <c r="A178" s="13" t="n">
        <v>155</v>
      </c>
      <c r="B178" s="14" t="s">
        <v>157</v>
      </c>
      <c r="C178" s="14" t="s">
        <v>206</v>
      </c>
      <c r="D178" s="15" t="s">
        <v>208</v>
      </c>
      <c r="E178" s="18" t="s">
        <v>26</v>
      </c>
      <c r="F178" s="16"/>
      <c r="G178" s="14"/>
    </row>
    <row r="179" customFormat="false" ht="27.75" hidden="false" customHeight="true" outlineLevel="0" collapsed="false">
      <c r="A179" s="8" t="n">
        <v>156</v>
      </c>
      <c r="B179" s="9" t="s">
        <v>157</v>
      </c>
      <c r="C179" s="9" t="s">
        <v>206</v>
      </c>
      <c r="D179" s="10" t="s">
        <v>209</v>
      </c>
      <c r="E179" s="19" t="s">
        <v>39</v>
      </c>
      <c r="F179" s="12"/>
      <c r="G179" s="9"/>
    </row>
    <row r="180" customFormat="false" ht="27.75" hidden="false" customHeight="true" outlineLevel="0" collapsed="false">
      <c r="A180" s="13" t="n">
        <v>157</v>
      </c>
      <c r="B180" s="14" t="s">
        <v>157</v>
      </c>
      <c r="C180" s="14" t="s">
        <v>206</v>
      </c>
      <c r="D180" s="15" t="s">
        <v>210</v>
      </c>
      <c r="E180" s="19" t="s">
        <v>39</v>
      </c>
      <c r="F180" s="16"/>
      <c r="G180" s="14"/>
    </row>
    <row r="181" customFormat="false" ht="27.75" hidden="false" customHeight="true" outlineLevel="0" collapsed="false">
      <c r="A181" s="8" t="n">
        <v>158</v>
      </c>
      <c r="B181" s="9" t="s">
        <v>157</v>
      </c>
      <c r="C181" s="9" t="s">
        <v>206</v>
      </c>
      <c r="D181" s="10" t="s">
        <v>211</v>
      </c>
      <c r="E181" s="18" t="s">
        <v>26</v>
      </c>
      <c r="F181" s="12"/>
      <c r="G181" s="9"/>
    </row>
    <row r="182" customFormat="false" ht="25.5" hidden="false" customHeight="true" outlineLevel="0" collapsed="false">
      <c r="A182" s="7" t="s">
        <v>212</v>
      </c>
      <c r="B182" s="7"/>
      <c r="C182" s="7"/>
      <c r="D182" s="7"/>
      <c r="E182" s="7"/>
      <c r="F182" s="7"/>
      <c r="G182" s="7"/>
    </row>
    <row r="183" customFormat="false" ht="27.75" hidden="false" customHeight="true" outlineLevel="0" collapsed="false">
      <c r="A183" s="8" t="n">
        <v>159</v>
      </c>
      <c r="B183" s="9" t="s">
        <v>157</v>
      </c>
      <c r="C183" s="9" t="s">
        <v>213</v>
      </c>
      <c r="D183" s="10" t="s">
        <v>214</v>
      </c>
      <c r="E183" s="18" t="s">
        <v>26</v>
      </c>
      <c r="F183" s="12"/>
      <c r="G183" s="9"/>
    </row>
    <row r="184" customFormat="false" ht="27.75" hidden="false" customHeight="true" outlineLevel="0" collapsed="false">
      <c r="A184" s="13" t="n">
        <v>160</v>
      </c>
      <c r="B184" s="14" t="s">
        <v>157</v>
      </c>
      <c r="C184" s="14" t="s">
        <v>213</v>
      </c>
      <c r="D184" s="15" t="s">
        <v>215</v>
      </c>
      <c r="E184" s="18" t="s">
        <v>26</v>
      </c>
      <c r="F184" s="16"/>
      <c r="G184" s="14"/>
    </row>
    <row r="185" customFormat="false" ht="27.75" hidden="false" customHeight="true" outlineLevel="0" collapsed="false">
      <c r="A185" s="8" t="n">
        <v>161</v>
      </c>
      <c r="B185" s="9" t="s">
        <v>157</v>
      </c>
      <c r="C185" s="9" t="s">
        <v>213</v>
      </c>
      <c r="D185" s="10" t="s">
        <v>216</v>
      </c>
      <c r="E185" s="19" t="s">
        <v>39</v>
      </c>
      <c r="F185" s="12"/>
      <c r="G185" s="9"/>
    </row>
    <row r="186" customFormat="false" ht="30" hidden="false" customHeight="true" outlineLevel="0" collapsed="false">
      <c r="A186" s="6" t="s">
        <v>217</v>
      </c>
      <c r="B186" s="6"/>
      <c r="C186" s="6"/>
      <c r="D186" s="6"/>
      <c r="E186" s="6"/>
      <c r="F186" s="6"/>
      <c r="G186" s="6"/>
    </row>
    <row r="187" customFormat="false" ht="25.5" hidden="false" customHeight="true" outlineLevel="0" collapsed="false">
      <c r="A187" s="7" t="s">
        <v>218</v>
      </c>
      <c r="B187" s="7"/>
      <c r="C187" s="7"/>
      <c r="D187" s="7"/>
      <c r="E187" s="7"/>
      <c r="F187" s="7"/>
      <c r="G187" s="7"/>
    </row>
    <row r="188" customFormat="false" ht="27.75" hidden="false" customHeight="true" outlineLevel="0" collapsed="false">
      <c r="A188" s="13" t="n">
        <v>162</v>
      </c>
      <c r="B188" s="14" t="s">
        <v>219</v>
      </c>
      <c r="C188" s="14" t="s">
        <v>220</v>
      </c>
      <c r="D188" s="15" t="s">
        <v>221</v>
      </c>
      <c r="E188" s="17" t="s">
        <v>19</v>
      </c>
      <c r="F188" s="16"/>
      <c r="G188" s="14"/>
    </row>
    <row r="189" customFormat="false" ht="27.75" hidden="false" customHeight="true" outlineLevel="0" collapsed="false">
      <c r="A189" s="8" t="n">
        <v>163</v>
      </c>
      <c r="B189" s="9" t="s">
        <v>219</v>
      </c>
      <c r="C189" s="9" t="s">
        <v>220</v>
      </c>
      <c r="D189" s="10" t="s">
        <v>222</v>
      </c>
      <c r="E189" s="17" t="s">
        <v>19</v>
      </c>
      <c r="F189" s="12"/>
      <c r="G189" s="9"/>
    </row>
    <row r="190" customFormat="false" ht="27.75" hidden="false" customHeight="true" outlineLevel="0" collapsed="false">
      <c r="A190" s="13" t="n">
        <v>164</v>
      </c>
      <c r="B190" s="14" t="s">
        <v>219</v>
      </c>
      <c r="C190" s="14" t="s">
        <v>220</v>
      </c>
      <c r="D190" s="15" t="s">
        <v>223</v>
      </c>
      <c r="E190" s="18" t="s">
        <v>26</v>
      </c>
      <c r="F190" s="16"/>
      <c r="G190" s="14"/>
    </row>
    <row r="191" customFormat="false" ht="27.75" hidden="false" customHeight="true" outlineLevel="0" collapsed="false">
      <c r="A191" s="8" t="n">
        <v>165</v>
      </c>
      <c r="B191" s="9" t="s">
        <v>219</v>
      </c>
      <c r="C191" s="9" t="s">
        <v>220</v>
      </c>
      <c r="D191" s="10" t="s">
        <v>224</v>
      </c>
      <c r="E191" s="17" t="s">
        <v>19</v>
      </c>
      <c r="F191" s="12"/>
      <c r="G191" s="9"/>
    </row>
    <row r="192" customFormat="false" ht="27.75" hidden="false" customHeight="true" outlineLevel="0" collapsed="false">
      <c r="A192" s="13" t="n">
        <v>166</v>
      </c>
      <c r="B192" s="14" t="s">
        <v>219</v>
      </c>
      <c r="C192" s="14" t="s">
        <v>220</v>
      </c>
      <c r="D192" s="15" t="s">
        <v>225</v>
      </c>
      <c r="E192" s="18" t="s">
        <v>26</v>
      </c>
      <c r="F192" s="16"/>
      <c r="G192" s="14"/>
    </row>
    <row r="193" customFormat="false" ht="27.75" hidden="false" customHeight="true" outlineLevel="0" collapsed="false">
      <c r="A193" s="8" t="n">
        <v>167</v>
      </c>
      <c r="B193" s="9" t="s">
        <v>219</v>
      </c>
      <c r="C193" s="9" t="s">
        <v>220</v>
      </c>
      <c r="D193" s="10" t="s">
        <v>226</v>
      </c>
      <c r="E193" s="19" t="s">
        <v>39</v>
      </c>
      <c r="F193" s="12"/>
      <c r="G193" s="9"/>
    </row>
    <row r="194" customFormat="false" ht="27.75" hidden="false" customHeight="true" outlineLevel="0" collapsed="false">
      <c r="A194" s="13" t="n">
        <v>168</v>
      </c>
      <c r="B194" s="14" t="s">
        <v>219</v>
      </c>
      <c r="C194" s="14" t="s">
        <v>220</v>
      </c>
      <c r="D194" s="15" t="s">
        <v>227</v>
      </c>
      <c r="E194" s="19" t="s">
        <v>39</v>
      </c>
      <c r="F194" s="16"/>
      <c r="G194" s="14"/>
    </row>
    <row r="195" customFormat="false" ht="25.5" hidden="false" customHeight="true" outlineLevel="0" collapsed="false">
      <c r="A195" s="7" t="s">
        <v>228</v>
      </c>
      <c r="B195" s="7"/>
      <c r="C195" s="7"/>
      <c r="D195" s="7"/>
      <c r="E195" s="7"/>
      <c r="F195" s="7"/>
      <c r="G195" s="7"/>
    </row>
    <row r="196" customFormat="false" ht="27.75" hidden="false" customHeight="true" outlineLevel="0" collapsed="false">
      <c r="A196" s="13" t="n">
        <v>169</v>
      </c>
      <c r="B196" s="14" t="s">
        <v>219</v>
      </c>
      <c r="C196" s="14" t="s">
        <v>229</v>
      </c>
      <c r="D196" s="15" t="s">
        <v>230</v>
      </c>
      <c r="E196" s="17" t="s">
        <v>19</v>
      </c>
      <c r="F196" s="16"/>
      <c r="G196" s="14"/>
    </row>
    <row r="197" customFormat="false" ht="27.75" hidden="false" customHeight="true" outlineLevel="0" collapsed="false">
      <c r="A197" s="8" t="n">
        <v>170</v>
      </c>
      <c r="B197" s="9" t="s">
        <v>219</v>
      </c>
      <c r="C197" s="9" t="s">
        <v>229</v>
      </c>
      <c r="D197" s="10" t="s">
        <v>231</v>
      </c>
      <c r="E197" s="18" t="s">
        <v>26</v>
      </c>
      <c r="F197" s="12"/>
      <c r="G197" s="9"/>
    </row>
    <row r="198" customFormat="false" ht="27.75" hidden="false" customHeight="true" outlineLevel="0" collapsed="false">
      <c r="A198" s="13" t="n">
        <v>171</v>
      </c>
      <c r="B198" s="14" t="s">
        <v>219</v>
      </c>
      <c r="C198" s="14" t="s">
        <v>229</v>
      </c>
      <c r="D198" s="15" t="s">
        <v>232</v>
      </c>
      <c r="E198" s="17" t="s">
        <v>19</v>
      </c>
      <c r="F198" s="16"/>
      <c r="G198" s="14"/>
    </row>
    <row r="199" customFormat="false" ht="27.75" hidden="false" customHeight="true" outlineLevel="0" collapsed="false">
      <c r="A199" s="8" t="n">
        <v>172</v>
      </c>
      <c r="B199" s="9" t="s">
        <v>219</v>
      </c>
      <c r="C199" s="9" t="s">
        <v>229</v>
      </c>
      <c r="D199" s="10" t="s">
        <v>233</v>
      </c>
      <c r="E199" s="17" t="s">
        <v>19</v>
      </c>
      <c r="F199" s="12"/>
      <c r="G199" s="9"/>
    </row>
    <row r="200" customFormat="false" ht="27.75" hidden="false" customHeight="true" outlineLevel="0" collapsed="false">
      <c r="A200" s="13" t="n">
        <v>173</v>
      </c>
      <c r="B200" s="14" t="s">
        <v>219</v>
      </c>
      <c r="C200" s="14" t="s">
        <v>229</v>
      </c>
      <c r="D200" s="15" t="s">
        <v>234</v>
      </c>
      <c r="E200" s="18" t="s">
        <v>26</v>
      </c>
      <c r="F200" s="16"/>
      <c r="G200" s="14"/>
    </row>
    <row r="201" customFormat="false" ht="25.5" hidden="false" customHeight="true" outlineLevel="0" collapsed="false">
      <c r="A201" s="7" t="s">
        <v>235</v>
      </c>
      <c r="B201" s="7"/>
      <c r="C201" s="7"/>
      <c r="D201" s="7"/>
      <c r="E201" s="7"/>
      <c r="F201" s="7"/>
      <c r="G201" s="7"/>
    </row>
    <row r="202" customFormat="false" ht="27.75" hidden="false" customHeight="true" outlineLevel="0" collapsed="false">
      <c r="A202" s="13" t="n">
        <v>174</v>
      </c>
      <c r="B202" s="14" t="s">
        <v>219</v>
      </c>
      <c r="C202" s="14" t="s">
        <v>236</v>
      </c>
      <c r="D202" s="15" t="s">
        <v>237</v>
      </c>
      <c r="E202" s="17" t="s">
        <v>19</v>
      </c>
      <c r="F202" s="16"/>
      <c r="G202" s="14"/>
    </row>
    <row r="203" customFormat="false" ht="27.75" hidden="false" customHeight="true" outlineLevel="0" collapsed="false">
      <c r="A203" s="8" t="n">
        <v>175</v>
      </c>
      <c r="B203" s="9" t="s">
        <v>219</v>
      </c>
      <c r="C203" s="9" t="s">
        <v>236</v>
      </c>
      <c r="D203" s="10" t="s">
        <v>238</v>
      </c>
      <c r="E203" s="18" t="s">
        <v>26</v>
      </c>
      <c r="F203" s="12"/>
      <c r="G203" s="9"/>
    </row>
    <row r="204" customFormat="false" ht="27.75" hidden="false" customHeight="true" outlineLevel="0" collapsed="false">
      <c r="A204" s="13" t="n">
        <v>176</v>
      </c>
      <c r="B204" s="14" t="s">
        <v>219</v>
      </c>
      <c r="C204" s="14" t="s">
        <v>236</v>
      </c>
      <c r="D204" s="15" t="s">
        <v>239</v>
      </c>
      <c r="E204" s="18" t="s">
        <v>26</v>
      </c>
      <c r="F204" s="16"/>
      <c r="G204" s="14"/>
    </row>
    <row r="205" customFormat="false" ht="27.75" hidden="false" customHeight="true" outlineLevel="0" collapsed="false">
      <c r="A205" s="8" t="n">
        <v>177</v>
      </c>
      <c r="B205" s="9" t="s">
        <v>219</v>
      </c>
      <c r="C205" s="9" t="s">
        <v>236</v>
      </c>
      <c r="D205" s="10" t="s">
        <v>240</v>
      </c>
      <c r="E205" s="17" t="s">
        <v>19</v>
      </c>
      <c r="F205" s="12"/>
      <c r="G205" s="9"/>
    </row>
    <row r="206" customFormat="false" ht="25.5" hidden="false" customHeight="true" outlineLevel="0" collapsed="false">
      <c r="A206" s="7" t="s">
        <v>241</v>
      </c>
      <c r="B206" s="7"/>
      <c r="C206" s="7"/>
      <c r="D206" s="7"/>
      <c r="E206" s="7"/>
      <c r="F206" s="7"/>
      <c r="G206" s="7"/>
    </row>
    <row r="207" customFormat="false" ht="27.75" hidden="false" customHeight="true" outlineLevel="0" collapsed="false">
      <c r="A207" s="8" t="n">
        <v>178</v>
      </c>
      <c r="B207" s="9" t="s">
        <v>219</v>
      </c>
      <c r="C207" s="9" t="s">
        <v>242</v>
      </c>
      <c r="D207" s="10" t="s">
        <v>243</v>
      </c>
      <c r="E207" s="17" t="s">
        <v>19</v>
      </c>
      <c r="F207" s="12"/>
      <c r="G207" s="9"/>
    </row>
    <row r="208" customFormat="false" ht="27.75" hidden="false" customHeight="true" outlineLevel="0" collapsed="false">
      <c r="A208" s="13" t="n">
        <v>179</v>
      </c>
      <c r="B208" s="14" t="s">
        <v>219</v>
      </c>
      <c r="C208" s="14" t="s">
        <v>242</v>
      </c>
      <c r="D208" s="15" t="s">
        <v>244</v>
      </c>
      <c r="E208" s="17" t="s">
        <v>19</v>
      </c>
      <c r="F208" s="16"/>
      <c r="G208" s="14"/>
    </row>
    <row r="209" customFormat="false" ht="27.75" hidden="false" customHeight="true" outlineLevel="0" collapsed="false">
      <c r="A209" s="8" t="n">
        <v>180</v>
      </c>
      <c r="B209" s="9" t="s">
        <v>219</v>
      </c>
      <c r="C209" s="9" t="s">
        <v>242</v>
      </c>
      <c r="D209" s="10" t="s">
        <v>245</v>
      </c>
      <c r="E209" s="18" t="s">
        <v>26</v>
      </c>
      <c r="F209" s="12"/>
      <c r="G209" s="9"/>
    </row>
    <row r="210" customFormat="false" ht="27.75" hidden="false" customHeight="true" outlineLevel="0" collapsed="false">
      <c r="A210" s="13" t="n">
        <v>181</v>
      </c>
      <c r="B210" s="14" t="s">
        <v>219</v>
      </c>
      <c r="C210" s="14" t="s">
        <v>242</v>
      </c>
      <c r="D210" s="15" t="s">
        <v>246</v>
      </c>
      <c r="E210" s="17" t="s">
        <v>19</v>
      </c>
      <c r="F210" s="16"/>
      <c r="G210" s="14"/>
    </row>
    <row r="211" customFormat="false" ht="27.75" hidden="false" customHeight="true" outlineLevel="0" collapsed="false">
      <c r="A211" s="8" t="n">
        <v>182</v>
      </c>
      <c r="B211" s="9" t="s">
        <v>219</v>
      </c>
      <c r="C211" s="9" t="s">
        <v>242</v>
      </c>
      <c r="D211" s="10" t="s">
        <v>247</v>
      </c>
      <c r="E211" s="18" t="s">
        <v>26</v>
      </c>
      <c r="F211" s="12"/>
      <c r="G211" s="9"/>
    </row>
    <row r="212" customFormat="false" ht="27.75" hidden="false" customHeight="true" outlineLevel="0" collapsed="false">
      <c r="A212" s="13" t="n">
        <v>183</v>
      </c>
      <c r="B212" s="14" t="s">
        <v>219</v>
      </c>
      <c r="C212" s="14" t="s">
        <v>242</v>
      </c>
      <c r="D212" s="15" t="s">
        <v>248</v>
      </c>
      <c r="E212" s="18" t="s">
        <v>26</v>
      </c>
      <c r="F212" s="16"/>
      <c r="G212" s="14"/>
    </row>
    <row r="213" customFormat="false" ht="27.75" hidden="false" customHeight="true" outlineLevel="0" collapsed="false">
      <c r="A213" s="8" t="n">
        <v>184</v>
      </c>
      <c r="B213" s="9" t="s">
        <v>219</v>
      </c>
      <c r="C213" s="9" t="s">
        <v>242</v>
      </c>
      <c r="D213" s="10" t="s">
        <v>249</v>
      </c>
      <c r="E213" s="17" t="s">
        <v>19</v>
      </c>
      <c r="F213" s="12"/>
      <c r="G213" s="9"/>
    </row>
    <row r="214" customFormat="false" ht="27.75" hidden="false" customHeight="true" outlineLevel="0" collapsed="false">
      <c r="A214" s="13" t="n">
        <v>185</v>
      </c>
      <c r="B214" s="14" t="s">
        <v>219</v>
      </c>
      <c r="C214" s="14" t="s">
        <v>242</v>
      </c>
      <c r="D214" s="15" t="s">
        <v>250</v>
      </c>
      <c r="E214" s="18" t="s">
        <v>26</v>
      </c>
      <c r="F214" s="16"/>
      <c r="G214" s="14"/>
    </row>
    <row r="215" customFormat="false" ht="25.5" hidden="false" customHeight="true" outlineLevel="0" collapsed="false">
      <c r="A215" s="7" t="s">
        <v>251</v>
      </c>
      <c r="B215" s="7"/>
      <c r="C215" s="7"/>
      <c r="D215" s="7"/>
      <c r="E215" s="7"/>
      <c r="F215" s="7"/>
      <c r="G215" s="7"/>
    </row>
    <row r="216" customFormat="false" ht="27.75" hidden="false" customHeight="true" outlineLevel="0" collapsed="false">
      <c r="A216" s="13" t="n">
        <v>186</v>
      </c>
      <c r="B216" s="14" t="s">
        <v>219</v>
      </c>
      <c r="C216" s="14" t="s">
        <v>252</v>
      </c>
      <c r="D216" s="15" t="s">
        <v>253</v>
      </c>
      <c r="E216" s="19" t="s">
        <v>39</v>
      </c>
      <c r="F216" s="16"/>
      <c r="G216" s="14"/>
    </row>
    <row r="217" customFormat="false" ht="27.75" hidden="false" customHeight="true" outlineLevel="0" collapsed="false">
      <c r="A217" s="8" t="n">
        <v>187</v>
      </c>
      <c r="B217" s="9" t="s">
        <v>219</v>
      </c>
      <c r="C217" s="9" t="s">
        <v>252</v>
      </c>
      <c r="D217" s="10" t="s">
        <v>254</v>
      </c>
      <c r="E217" s="18" t="s">
        <v>26</v>
      </c>
      <c r="F217" s="12"/>
      <c r="G217" s="9"/>
    </row>
    <row r="218" customFormat="false" ht="27.75" hidden="false" customHeight="true" outlineLevel="0" collapsed="false">
      <c r="A218" s="13" t="n">
        <v>188</v>
      </c>
      <c r="B218" s="14" t="s">
        <v>219</v>
      </c>
      <c r="C218" s="14" t="s">
        <v>252</v>
      </c>
      <c r="D218" s="15" t="s">
        <v>255</v>
      </c>
      <c r="E218" s="18" t="s">
        <v>26</v>
      </c>
      <c r="F218" s="16"/>
      <c r="G218" s="14"/>
    </row>
    <row r="219" customFormat="false" ht="27.75" hidden="false" customHeight="true" outlineLevel="0" collapsed="false">
      <c r="A219" s="8" t="n">
        <v>189</v>
      </c>
      <c r="B219" s="9" t="s">
        <v>219</v>
      </c>
      <c r="C219" s="9" t="s">
        <v>252</v>
      </c>
      <c r="D219" s="10" t="s">
        <v>256</v>
      </c>
      <c r="E219" s="18" t="s">
        <v>26</v>
      </c>
      <c r="F219" s="12"/>
      <c r="G219" s="9"/>
    </row>
    <row r="220" customFormat="false" ht="25.5" hidden="false" customHeight="true" outlineLevel="0" collapsed="false">
      <c r="A220" s="7" t="s">
        <v>257</v>
      </c>
      <c r="B220" s="7"/>
      <c r="C220" s="7"/>
      <c r="D220" s="7"/>
      <c r="E220" s="7"/>
      <c r="F220" s="7"/>
      <c r="G220" s="7"/>
    </row>
    <row r="221" customFormat="false" ht="27.75" hidden="false" customHeight="true" outlineLevel="0" collapsed="false">
      <c r="A221" s="8" t="n">
        <v>190</v>
      </c>
      <c r="B221" s="9" t="s">
        <v>219</v>
      </c>
      <c r="C221" s="9" t="s">
        <v>258</v>
      </c>
      <c r="D221" s="10" t="s">
        <v>259</v>
      </c>
      <c r="E221" s="18" t="s">
        <v>26</v>
      </c>
      <c r="F221" s="12"/>
      <c r="G221" s="9"/>
    </row>
    <row r="222" customFormat="false" ht="27.75" hidden="false" customHeight="true" outlineLevel="0" collapsed="false">
      <c r="A222" s="13" t="n">
        <v>191</v>
      </c>
      <c r="B222" s="14" t="s">
        <v>219</v>
      </c>
      <c r="C222" s="14" t="s">
        <v>258</v>
      </c>
      <c r="D222" s="15" t="s">
        <v>260</v>
      </c>
      <c r="E222" s="18" t="s">
        <v>26</v>
      </c>
      <c r="F222" s="16"/>
      <c r="G222" s="14"/>
    </row>
    <row r="223" customFormat="false" ht="27.75" hidden="false" customHeight="true" outlineLevel="0" collapsed="false">
      <c r="A223" s="8" t="n">
        <v>192</v>
      </c>
      <c r="B223" s="9" t="s">
        <v>219</v>
      </c>
      <c r="C223" s="9" t="s">
        <v>258</v>
      </c>
      <c r="D223" s="10" t="s">
        <v>261</v>
      </c>
      <c r="E223" s="18" t="s">
        <v>26</v>
      </c>
      <c r="F223" s="12"/>
      <c r="G223" s="9"/>
    </row>
    <row r="224" customFormat="false" ht="27.75" hidden="false" customHeight="true" outlineLevel="0" collapsed="false">
      <c r="A224" s="13" t="n">
        <v>193</v>
      </c>
      <c r="B224" s="14" t="s">
        <v>219</v>
      </c>
      <c r="C224" s="14" t="s">
        <v>258</v>
      </c>
      <c r="D224" s="15" t="s">
        <v>262</v>
      </c>
      <c r="E224" s="19" t="s">
        <v>39</v>
      </c>
      <c r="F224" s="16"/>
      <c r="G224" s="14"/>
    </row>
    <row r="225" customFormat="false" ht="27.75" hidden="false" customHeight="true" outlineLevel="0" collapsed="false">
      <c r="A225" s="8" t="n">
        <v>194</v>
      </c>
      <c r="B225" s="9" t="s">
        <v>219</v>
      </c>
      <c r="C225" s="9" t="s">
        <v>258</v>
      </c>
      <c r="D225" s="10" t="s">
        <v>263</v>
      </c>
      <c r="E225" s="19" t="s">
        <v>39</v>
      </c>
      <c r="F225" s="12"/>
      <c r="G225" s="9"/>
    </row>
    <row r="226" customFormat="false" ht="30" hidden="false" customHeight="true" outlineLevel="0" collapsed="false">
      <c r="A226" s="6" t="s">
        <v>264</v>
      </c>
      <c r="B226" s="6"/>
      <c r="C226" s="6"/>
      <c r="D226" s="6"/>
      <c r="E226" s="6"/>
      <c r="F226" s="6"/>
      <c r="G226" s="6"/>
    </row>
    <row r="227" customFormat="false" ht="25.5" hidden="false" customHeight="true" outlineLevel="0" collapsed="false">
      <c r="A227" s="7" t="s">
        <v>265</v>
      </c>
      <c r="B227" s="7"/>
      <c r="C227" s="7"/>
      <c r="D227" s="7"/>
      <c r="E227" s="7"/>
      <c r="F227" s="7"/>
      <c r="G227" s="7"/>
    </row>
    <row r="228" customFormat="false" ht="27.75" hidden="false" customHeight="true" outlineLevel="0" collapsed="false">
      <c r="A228" s="13" t="n">
        <v>195</v>
      </c>
      <c r="B228" s="14" t="s">
        <v>266</v>
      </c>
      <c r="C228" s="14" t="s">
        <v>267</v>
      </c>
      <c r="D228" s="15" t="s">
        <v>268</v>
      </c>
      <c r="E228" s="18" t="s">
        <v>26</v>
      </c>
      <c r="F228" s="16"/>
      <c r="G228" s="14"/>
    </row>
    <row r="229" customFormat="false" ht="27.75" hidden="false" customHeight="true" outlineLevel="0" collapsed="false">
      <c r="A229" s="8" t="n">
        <v>196</v>
      </c>
      <c r="B229" s="9" t="s">
        <v>266</v>
      </c>
      <c r="C229" s="9" t="s">
        <v>267</v>
      </c>
      <c r="D229" s="10" t="s">
        <v>269</v>
      </c>
      <c r="E229" s="18" t="s">
        <v>26</v>
      </c>
      <c r="F229" s="12"/>
      <c r="G229" s="9"/>
    </row>
    <row r="230" customFormat="false" ht="27.75" hidden="false" customHeight="true" outlineLevel="0" collapsed="false">
      <c r="A230" s="13" t="n">
        <v>197</v>
      </c>
      <c r="B230" s="14" t="s">
        <v>266</v>
      </c>
      <c r="C230" s="14" t="s">
        <v>267</v>
      </c>
      <c r="D230" s="15" t="s">
        <v>270</v>
      </c>
      <c r="E230" s="18" t="s">
        <v>26</v>
      </c>
      <c r="F230" s="16"/>
      <c r="G230" s="14"/>
    </row>
    <row r="231" customFormat="false" ht="27.75" hidden="false" customHeight="true" outlineLevel="0" collapsed="false">
      <c r="A231" s="8" t="n">
        <v>198</v>
      </c>
      <c r="B231" s="9" t="s">
        <v>266</v>
      </c>
      <c r="C231" s="9" t="s">
        <v>267</v>
      </c>
      <c r="D231" s="10" t="s">
        <v>271</v>
      </c>
      <c r="E231" s="18" t="s">
        <v>26</v>
      </c>
      <c r="F231" s="12"/>
      <c r="G231" s="9"/>
    </row>
    <row r="232" customFormat="false" ht="27.75" hidden="false" customHeight="true" outlineLevel="0" collapsed="false">
      <c r="A232" s="13" t="n">
        <v>199</v>
      </c>
      <c r="B232" s="14" t="s">
        <v>266</v>
      </c>
      <c r="C232" s="14" t="s">
        <v>267</v>
      </c>
      <c r="D232" s="15" t="s">
        <v>272</v>
      </c>
      <c r="E232" s="19" t="s">
        <v>39</v>
      </c>
      <c r="F232" s="16"/>
      <c r="G232" s="14"/>
    </row>
    <row r="233" customFormat="false" ht="27.75" hidden="false" customHeight="true" outlineLevel="0" collapsed="false">
      <c r="A233" s="8" t="n">
        <v>200</v>
      </c>
      <c r="B233" s="9" t="s">
        <v>266</v>
      </c>
      <c r="C233" s="9" t="s">
        <v>267</v>
      </c>
      <c r="D233" s="10" t="s">
        <v>273</v>
      </c>
      <c r="E233" s="19" t="s">
        <v>39</v>
      </c>
      <c r="F233" s="12"/>
      <c r="G233" s="9"/>
    </row>
    <row r="234" customFormat="false" ht="27.75" hidden="false" customHeight="true" outlineLevel="0" collapsed="false">
      <c r="A234" s="13" t="n">
        <v>201</v>
      </c>
      <c r="B234" s="14" t="s">
        <v>266</v>
      </c>
      <c r="C234" s="14" t="s">
        <v>267</v>
      </c>
      <c r="D234" s="15" t="s">
        <v>274</v>
      </c>
      <c r="E234" s="19" t="s">
        <v>39</v>
      </c>
      <c r="F234" s="16"/>
      <c r="G234" s="14"/>
    </row>
    <row r="235" customFormat="false" ht="27.75" hidden="false" customHeight="true" outlineLevel="0" collapsed="false">
      <c r="A235" s="8" t="n">
        <v>202</v>
      </c>
      <c r="B235" s="9" t="s">
        <v>266</v>
      </c>
      <c r="C235" s="9" t="s">
        <v>267</v>
      </c>
      <c r="D235" s="10" t="s">
        <v>275</v>
      </c>
      <c r="E235" s="18" t="s">
        <v>26</v>
      </c>
      <c r="F235" s="12"/>
      <c r="G235" s="9"/>
    </row>
    <row r="236" customFormat="false" ht="27.75" hidden="false" customHeight="true" outlineLevel="0" collapsed="false">
      <c r="A236" s="13" t="n">
        <v>203</v>
      </c>
      <c r="B236" s="14" t="s">
        <v>266</v>
      </c>
      <c r="C236" s="14" t="s">
        <v>267</v>
      </c>
      <c r="D236" s="15" t="s">
        <v>276</v>
      </c>
      <c r="E236" s="17" t="s">
        <v>19</v>
      </c>
      <c r="F236" s="16"/>
      <c r="G236" s="14"/>
    </row>
    <row r="237" customFormat="false" ht="30" hidden="false" customHeight="true" outlineLevel="0" collapsed="false">
      <c r="A237" s="6" t="s">
        <v>277</v>
      </c>
      <c r="B237" s="6"/>
      <c r="C237" s="6"/>
      <c r="D237" s="6"/>
      <c r="E237" s="6"/>
      <c r="F237" s="6"/>
      <c r="G237" s="6"/>
    </row>
    <row r="238" customFormat="false" ht="25.5" hidden="false" customHeight="true" outlineLevel="0" collapsed="false">
      <c r="A238" s="7" t="s">
        <v>278</v>
      </c>
      <c r="B238" s="7"/>
      <c r="C238" s="7"/>
      <c r="D238" s="7"/>
      <c r="E238" s="7"/>
      <c r="F238" s="7"/>
      <c r="G238" s="7"/>
    </row>
    <row r="239" customFormat="false" ht="27.75" hidden="false" customHeight="true" outlineLevel="0" collapsed="false">
      <c r="A239" s="8" t="n">
        <v>204</v>
      </c>
      <c r="B239" s="9" t="s">
        <v>279</v>
      </c>
      <c r="C239" s="9" t="s">
        <v>280</v>
      </c>
      <c r="D239" s="10" t="s">
        <v>281</v>
      </c>
      <c r="E239" s="18" t="s">
        <v>26</v>
      </c>
      <c r="F239" s="12"/>
      <c r="G239" s="9"/>
    </row>
    <row r="240" customFormat="false" ht="27.75" hidden="false" customHeight="true" outlineLevel="0" collapsed="false">
      <c r="A240" s="13" t="n">
        <v>205</v>
      </c>
      <c r="B240" s="14" t="s">
        <v>279</v>
      </c>
      <c r="C240" s="14" t="s">
        <v>280</v>
      </c>
      <c r="D240" s="15" t="s">
        <v>282</v>
      </c>
      <c r="E240" s="17" t="s">
        <v>19</v>
      </c>
      <c r="F240" s="16"/>
      <c r="G240" s="14"/>
    </row>
    <row r="241" customFormat="false" ht="27.75" hidden="false" customHeight="true" outlineLevel="0" collapsed="false">
      <c r="A241" s="8" t="n">
        <v>206</v>
      </c>
      <c r="B241" s="9" t="s">
        <v>279</v>
      </c>
      <c r="C241" s="9" t="s">
        <v>280</v>
      </c>
      <c r="D241" s="10" t="s">
        <v>283</v>
      </c>
      <c r="E241" s="17" t="s">
        <v>19</v>
      </c>
      <c r="F241" s="12"/>
      <c r="G241" s="9"/>
    </row>
    <row r="242" customFormat="false" ht="27.75" hidden="false" customHeight="true" outlineLevel="0" collapsed="false">
      <c r="A242" s="13" t="n">
        <v>207</v>
      </c>
      <c r="B242" s="14" t="s">
        <v>279</v>
      </c>
      <c r="C242" s="14" t="s">
        <v>280</v>
      </c>
      <c r="D242" s="15" t="s">
        <v>284</v>
      </c>
      <c r="E242" s="18" t="s">
        <v>26</v>
      </c>
      <c r="F242" s="16"/>
      <c r="G242" s="14"/>
    </row>
    <row r="243" customFormat="false" ht="27.75" hidden="false" customHeight="true" outlineLevel="0" collapsed="false">
      <c r="A243" s="8" t="n">
        <v>208</v>
      </c>
      <c r="B243" s="9" t="s">
        <v>279</v>
      </c>
      <c r="C243" s="9" t="s">
        <v>280</v>
      </c>
      <c r="D243" s="10" t="s">
        <v>285</v>
      </c>
      <c r="E243" s="18" t="s">
        <v>26</v>
      </c>
      <c r="F243" s="12"/>
      <c r="G243" s="9"/>
    </row>
    <row r="244" customFormat="false" ht="27.75" hidden="false" customHeight="true" outlineLevel="0" collapsed="false">
      <c r="A244" s="13" t="n">
        <v>209</v>
      </c>
      <c r="B244" s="14" t="s">
        <v>279</v>
      </c>
      <c r="C244" s="14" t="s">
        <v>280</v>
      </c>
      <c r="D244" s="15" t="s">
        <v>286</v>
      </c>
      <c r="E244" s="18" t="s">
        <v>26</v>
      </c>
      <c r="F244" s="16"/>
      <c r="G244" s="14"/>
    </row>
    <row r="245" customFormat="false" ht="25.5" hidden="false" customHeight="true" outlineLevel="0" collapsed="false">
      <c r="A245" s="7" t="s">
        <v>287</v>
      </c>
      <c r="B245" s="7"/>
      <c r="C245" s="7"/>
      <c r="D245" s="7"/>
      <c r="E245" s="7"/>
      <c r="F245" s="7"/>
      <c r="G245" s="7"/>
    </row>
    <row r="246" customFormat="false" ht="27.75" hidden="false" customHeight="true" outlineLevel="0" collapsed="false">
      <c r="A246" s="13" t="n">
        <v>210</v>
      </c>
      <c r="B246" s="14" t="s">
        <v>279</v>
      </c>
      <c r="C246" s="14" t="s">
        <v>288</v>
      </c>
      <c r="D246" s="15" t="s">
        <v>289</v>
      </c>
      <c r="E246" s="17" t="s">
        <v>19</v>
      </c>
      <c r="F246" s="16"/>
      <c r="G246" s="14"/>
    </row>
    <row r="247" customFormat="false" ht="27.75" hidden="false" customHeight="true" outlineLevel="0" collapsed="false">
      <c r="A247" s="8" t="n">
        <v>211</v>
      </c>
      <c r="B247" s="9" t="s">
        <v>279</v>
      </c>
      <c r="C247" s="9" t="s">
        <v>288</v>
      </c>
      <c r="D247" s="10" t="s">
        <v>290</v>
      </c>
      <c r="E247" s="18" t="s">
        <v>26</v>
      </c>
      <c r="F247" s="12"/>
      <c r="G247" s="9"/>
    </row>
    <row r="248" customFormat="false" ht="27.75" hidden="false" customHeight="true" outlineLevel="0" collapsed="false">
      <c r="A248" s="13" t="n">
        <v>212</v>
      </c>
      <c r="B248" s="14" t="s">
        <v>279</v>
      </c>
      <c r="C248" s="14" t="s">
        <v>288</v>
      </c>
      <c r="D248" s="15" t="s">
        <v>291</v>
      </c>
      <c r="E248" s="18" t="s">
        <v>26</v>
      </c>
      <c r="F248" s="16"/>
      <c r="G248" s="14"/>
    </row>
    <row r="249" customFormat="false" ht="27.75" hidden="false" customHeight="true" outlineLevel="0" collapsed="false">
      <c r="A249" s="8" t="n">
        <v>213</v>
      </c>
      <c r="B249" s="9" t="s">
        <v>279</v>
      </c>
      <c r="C249" s="9" t="s">
        <v>288</v>
      </c>
      <c r="D249" s="10" t="s">
        <v>292</v>
      </c>
      <c r="E249" s="18" t="s">
        <v>26</v>
      </c>
      <c r="F249" s="12"/>
      <c r="G249" s="9"/>
    </row>
    <row r="250" customFormat="false" ht="27.75" hidden="false" customHeight="true" outlineLevel="0" collapsed="false">
      <c r="A250" s="13" t="n">
        <v>214</v>
      </c>
      <c r="B250" s="14" t="s">
        <v>279</v>
      </c>
      <c r="C250" s="14" t="s">
        <v>288</v>
      </c>
      <c r="D250" s="15" t="s">
        <v>293</v>
      </c>
      <c r="E250" s="18" t="s">
        <v>26</v>
      </c>
      <c r="F250" s="16"/>
      <c r="G250" s="14"/>
    </row>
    <row r="251" customFormat="false" ht="27.75" hidden="false" customHeight="true" outlineLevel="0" collapsed="false">
      <c r="A251" s="8" t="n">
        <v>215</v>
      </c>
      <c r="B251" s="9" t="s">
        <v>279</v>
      </c>
      <c r="C251" s="9" t="s">
        <v>288</v>
      </c>
      <c r="D251" s="10" t="s">
        <v>294</v>
      </c>
      <c r="E251" s="17" t="s">
        <v>19</v>
      </c>
      <c r="F251" s="12"/>
      <c r="G251" s="9"/>
    </row>
    <row r="252" customFormat="false" ht="25.5" hidden="false" customHeight="true" outlineLevel="0" collapsed="false">
      <c r="A252" s="7" t="s">
        <v>295</v>
      </c>
      <c r="B252" s="7"/>
      <c r="C252" s="7"/>
      <c r="D252" s="7"/>
      <c r="E252" s="7"/>
      <c r="F252" s="7"/>
      <c r="G252" s="7"/>
    </row>
    <row r="253" customFormat="false" ht="27.75" hidden="false" customHeight="true" outlineLevel="0" collapsed="false">
      <c r="A253" s="8" t="n">
        <v>216</v>
      </c>
      <c r="B253" s="9" t="s">
        <v>279</v>
      </c>
      <c r="C253" s="9" t="s">
        <v>296</v>
      </c>
      <c r="D253" s="10" t="s">
        <v>297</v>
      </c>
      <c r="E253" s="17" t="s">
        <v>19</v>
      </c>
      <c r="F253" s="12"/>
      <c r="G253" s="9"/>
    </row>
    <row r="254" customFormat="false" ht="27.75" hidden="false" customHeight="true" outlineLevel="0" collapsed="false">
      <c r="A254" s="13" t="n">
        <v>217</v>
      </c>
      <c r="B254" s="14" t="s">
        <v>279</v>
      </c>
      <c r="C254" s="14" t="s">
        <v>296</v>
      </c>
      <c r="D254" s="15" t="s">
        <v>298</v>
      </c>
      <c r="E254" s="18" t="s">
        <v>26</v>
      </c>
      <c r="F254" s="16"/>
      <c r="G254" s="14"/>
    </row>
    <row r="255" customFormat="false" ht="27.75" hidden="false" customHeight="true" outlineLevel="0" collapsed="false">
      <c r="A255" s="8" t="n">
        <v>218</v>
      </c>
      <c r="B255" s="9" t="s">
        <v>279</v>
      </c>
      <c r="C255" s="9" t="s">
        <v>296</v>
      </c>
      <c r="D255" s="10" t="s">
        <v>299</v>
      </c>
      <c r="E255" s="19" t="s">
        <v>39</v>
      </c>
      <c r="F255" s="12"/>
      <c r="G255" s="9"/>
    </row>
    <row r="256" customFormat="false" ht="27.75" hidden="false" customHeight="true" outlineLevel="0" collapsed="false">
      <c r="A256" s="13" t="n">
        <v>219</v>
      </c>
      <c r="B256" s="14" t="s">
        <v>279</v>
      </c>
      <c r="C256" s="14" t="s">
        <v>296</v>
      </c>
      <c r="D256" s="15" t="s">
        <v>300</v>
      </c>
      <c r="E256" s="19" t="s">
        <v>39</v>
      </c>
      <c r="F256" s="16"/>
      <c r="G256" s="14"/>
    </row>
    <row r="257" customFormat="false" ht="25.5" hidden="false" customHeight="true" outlineLevel="0" collapsed="false">
      <c r="A257" s="7" t="s">
        <v>301</v>
      </c>
      <c r="B257" s="7"/>
      <c r="C257" s="7"/>
      <c r="D257" s="7"/>
      <c r="E257" s="7"/>
      <c r="F257" s="7"/>
      <c r="G257" s="7"/>
    </row>
    <row r="258" customFormat="false" ht="27.75" hidden="false" customHeight="true" outlineLevel="0" collapsed="false">
      <c r="A258" s="13" t="n">
        <v>220</v>
      </c>
      <c r="B258" s="14" t="s">
        <v>279</v>
      </c>
      <c r="C258" s="14" t="s">
        <v>302</v>
      </c>
      <c r="D258" s="15" t="s">
        <v>303</v>
      </c>
      <c r="E258" s="18" t="s">
        <v>26</v>
      </c>
      <c r="F258" s="16"/>
      <c r="G258" s="14"/>
    </row>
    <row r="259" customFormat="false" ht="27.75" hidden="false" customHeight="true" outlineLevel="0" collapsed="false">
      <c r="A259" s="8" t="n">
        <v>221</v>
      </c>
      <c r="B259" s="9" t="s">
        <v>279</v>
      </c>
      <c r="C259" s="9" t="s">
        <v>302</v>
      </c>
      <c r="D259" s="10" t="s">
        <v>304</v>
      </c>
      <c r="E259" s="18" t="s">
        <v>26</v>
      </c>
      <c r="F259" s="12"/>
      <c r="G259" s="9"/>
    </row>
    <row r="260" customFormat="false" ht="27.75" hidden="false" customHeight="true" outlineLevel="0" collapsed="false">
      <c r="A260" s="13" t="n">
        <v>222</v>
      </c>
      <c r="B260" s="14" t="s">
        <v>279</v>
      </c>
      <c r="C260" s="14" t="s">
        <v>302</v>
      </c>
      <c r="D260" s="15" t="s">
        <v>305</v>
      </c>
      <c r="E260" s="18" t="s">
        <v>26</v>
      </c>
      <c r="F260" s="16"/>
      <c r="G260" s="14"/>
    </row>
    <row r="261" customFormat="false" ht="27.75" hidden="false" customHeight="true" outlineLevel="0" collapsed="false">
      <c r="A261" s="8" t="n">
        <v>223</v>
      </c>
      <c r="B261" s="9" t="s">
        <v>279</v>
      </c>
      <c r="C261" s="9" t="s">
        <v>302</v>
      </c>
      <c r="D261" s="10" t="s">
        <v>306</v>
      </c>
      <c r="E261" s="18" t="s">
        <v>26</v>
      </c>
      <c r="F261" s="12"/>
      <c r="G261" s="9"/>
    </row>
    <row r="262" customFormat="false" ht="27.75" hidden="false" customHeight="true" outlineLevel="0" collapsed="false">
      <c r="A262" s="13" t="n">
        <v>224</v>
      </c>
      <c r="B262" s="14" t="s">
        <v>279</v>
      </c>
      <c r="C262" s="14" t="s">
        <v>302</v>
      </c>
      <c r="D262" s="15" t="s">
        <v>307</v>
      </c>
      <c r="E262" s="18" t="s">
        <v>26</v>
      </c>
      <c r="F262" s="16"/>
      <c r="G262" s="14"/>
    </row>
    <row r="263" customFormat="false" ht="25.5" hidden="false" customHeight="true" outlineLevel="0" collapsed="false">
      <c r="A263" s="7" t="s">
        <v>308</v>
      </c>
      <c r="B263" s="7"/>
      <c r="C263" s="7"/>
      <c r="D263" s="7"/>
      <c r="E263" s="7"/>
      <c r="F263" s="7"/>
      <c r="G263" s="7"/>
    </row>
    <row r="264" customFormat="false" ht="27.75" hidden="false" customHeight="true" outlineLevel="0" collapsed="false">
      <c r="A264" s="13" t="n">
        <v>225</v>
      </c>
      <c r="B264" s="14" t="s">
        <v>279</v>
      </c>
      <c r="C264" s="14" t="s">
        <v>309</v>
      </c>
      <c r="D264" s="15" t="s">
        <v>310</v>
      </c>
      <c r="E264" s="18" t="s">
        <v>26</v>
      </c>
      <c r="F264" s="16"/>
      <c r="G264" s="14"/>
    </row>
    <row r="265" customFormat="false" ht="27.75" hidden="false" customHeight="true" outlineLevel="0" collapsed="false">
      <c r="A265" s="8" t="n">
        <v>226</v>
      </c>
      <c r="B265" s="9" t="s">
        <v>279</v>
      </c>
      <c r="C265" s="9" t="s">
        <v>309</v>
      </c>
      <c r="D265" s="10" t="s">
        <v>311</v>
      </c>
      <c r="E265" s="18" t="s">
        <v>26</v>
      </c>
      <c r="F265" s="12"/>
      <c r="G265" s="9"/>
    </row>
    <row r="266" customFormat="false" ht="27.75" hidden="false" customHeight="true" outlineLevel="0" collapsed="false">
      <c r="A266" s="13" t="n">
        <v>227</v>
      </c>
      <c r="B266" s="14" t="s">
        <v>279</v>
      </c>
      <c r="C266" s="14" t="s">
        <v>309</v>
      </c>
      <c r="D266" s="15" t="s">
        <v>312</v>
      </c>
      <c r="E266" s="19" t="s">
        <v>39</v>
      </c>
      <c r="F266" s="16"/>
      <c r="G266" s="14"/>
    </row>
    <row r="267" customFormat="false" ht="27.75" hidden="false" customHeight="true" outlineLevel="0" collapsed="false">
      <c r="A267" s="8" t="n">
        <v>228</v>
      </c>
      <c r="B267" s="9" t="s">
        <v>279</v>
      </c>
      <c r="C267" s="9" t="s">
        <v>309</v>
      </c>
      <c r="D267" s="10" t="s">
        <v>313</v>
      </c>
      <c r="E267" s="18" t="s">
        <v>26</v>
      </c>
      <c r="F267" s="12"/>
      <c r="G267" s="9"/>
    </row>
    <row r="268" customFormat="false" ht="27.75" hidden="false" customHeight="true" outlineLevel="0" collapsed="false">
      <c r="A268" s="13" t="n">
        <v>229</v>
      </c>
      <c r="B268" s="14" t="s">
        <v>279</v>
      </c>
      <c r="C268" s="14" t="s">
        <v>309</v>
      </c>
      <c r="D268" s="15" t="s">
        <v>314</v>
      </c>
      <c r="E268" s="17" t="s">
        <v>19</v>
      </c>
      <c r="F268" s="16"/>
      <c r="G268" s="14"/>
    </row>
    <row r="269" customFormat="false" ht="25.5" hidden="false" customHeight="true" outlineLevel="0" collapsed="false">
      <c r="A269" s="7" t="s">
        <v>315</v>
      </c>
      <c r="B269" s="7"/>
      <c r="C269" s="7"/>
      <c r="D269" s="7"/>
      <c r="E269" s="7"/>
      <c r="F269" s="7"/>
      <c r="G269" s="7"/>
    </row>
    <row r="270" customFormat="false" ht="27.75" hidden="false" customHeight="true" outlineLevel="0" collapsed="false">
      <c r="A270" s="13" t="n">
        <v>230</v>
      </c>
      <c r="B270" s="14" t="s">
        <v>279</v>
      </c>
      <c r="C270" s="14" t="s">
        <v>316</v>
      </c>
      <c r="D270" s="15" t="s">
        <v>317</v>
      </c>
      <c r="E270" s="19" t="s">
        <v>39</v>
      </c>
      <c r="F270" s="16"/>
      <c r="G270" s="14"/>
    </row>
    <row r="271" customFormat="false" ht="27.75" hidden="false" customHeight="true" outlineLevel="0" collapsed="false">
      <c r="A271" s="8" t="n">
        <v>231</v>
      </c>
      <c r="B271" s="9" t="s">
        <v>279</v>
      </c>
      <c r="C271" s="9" t="s">
        <v>316</v>
      </c>
      <c r="D271" s="10" t="s">
        <v>318</v>
      </c>
      <c r="E271" s="18" t="s">
        <v>26</v>
      </c>
      <c r="F271" s="12"/>
      <c r="G271" s="9"/>
    </row>
    <row r="272" customFormat="false" ht="27.75" hidden="false" customHeight="true" outlineLevel="0" collapsed="false">
      <c r="A272" s="13" t="n">
        <v>232</v>
      </c>
      <c r="B272" s="14" t="s">
        <v>279</v>
      </c>
      <c r="C272" s="14" t="s">
        <v>316</v>
      </c>
      <c r="D272" s="15" t="s">
        <v>319</v>
      </c>
      <c r="E272" s="18" t="s">
        <v>26</v>
      </c>
      <c r="F272" s="16"/>
      <c r="G272" s="14"/>
    </row>
    <row r="273" customFormat="false" ht="30" hidden="false" customHeight="true" outlineLevel="0" collapsed="false">
      <c r="A273" s="6" t="s">
        <v>320</v>
      </c>
      <c r="B273" s="6"/>
      <c r="C273" s="6"/>
      <c r="D273" s="6"/>
      <c r="E273" s="6"/>
      <c r="F273" s="6"/>
      <c r="G273" s="6"/>
    </row>
    <row r="274" customFormat="false" ht="25.5" hidden="false" customHeight="true" outlineLevel="0" collapsed="false">
      <c r="A274" s="7" t="s">
        <v>321</v>
      </c>
      <c r="B274" s="7"/>
      <c r="C274" s="7"/>
      <c r="D274" s="7"/>
      <c r="E274" s="7"/>
      <c r="F274" s="7"/>
      <c r="G274" s="7"/>
    </row>
    <row r="275" customFormat="false" ht="27.75" hidden="false" customHeight="true" outlineLevel="0" collapsed="false">
      <c r="A275" s="8" t="n">
        <v>233</v>
      </c>
      <c r="B275" s="9" t="s">
        <v>322</v>
      </c>
      <c r="C275" s="9" t="s">
        <v>323</v>
      </c>
      <c r="D275" s="10" t="s">
        <v>324</v>
      </c>
      <c r="E275" s="17" t="s">
        <v>19</v>
      </c>
      <c r="F275" s="12"/>
      <c r="G275" s="9"/>
    </row>
    <row r="276" customFormat="false" ht="27.75" hidden="false" customHeight="true" outlineLevel="0" collapsed="false">
      <c r="A276" s="13" t="n">
        <v>234</v>
      </c>
      <c r="B276" s="14" t="s">
        <v>322</v>
      </c>
      <c r="C276" s="14" t="s">
        <v>323</v>
      </c>
      <c r="D276" s="15" t="s">
        <v>325</v>
      </c>
      <c r="E276" s="18" t="s">
        <v>26</v>
      </c>
      <c r="F276" s="16"/>
      <c r="G276" s="14"/>
    </row>
    <row r="277" customFormat="false" ht="27.75" hidden="false" customHeight="true" outlineLevel="0" collapsed="false">
      <c r="A277" s="8" t="n">
        <v>235</v>
      </c>
      <c r="B277" s="9" t="s">
        <v>322</v>
      </c>
      <c r="C277" s="9" t="s">
        <v>323</v>
      </c>
      <c r="D277" s="10" t="s">
        <v>326</v>
      </c>
      <c r="E277" s="18" t="s">
        <v>26</v>
      </c>
      <c r="F277" s="12"/>
      <c r="G277" s="9"/>
    </row>
    <row r="278" customFormat="false" ht="27.75" hidden="false" customHeight="true" outlineLevel="0" collapsed="false">
      <c r="A278" s="13" t="n">
        <v>236</v>
      </c>
      <c r="B278" s="14" t="s">
        <v>322</v>
      </c>
      <c r="C278" s="14" t="s">
        <v>323</v>
      </c>
      <c r="D278" s="15" t="s">
        <v>327</v>
      </c>
      <c r="E278" s="18" t="s">
        <v>26</v>
      </c>
      <c r="F278" s="16"/>
      <c r="G278" s="14"/>
    </row>
    <row r="279" customFormat="false" ht="27.75" hidden="false" customHeight="true" outlineLevel="0" collapsed="false">
      <c r="A279" s="8" t="n">
        <v>237</v>
      </c>
      <c r="B279" s="9" t="s">
        <v>322</v>
      </c>
      <c r="C279" s="9" t="s">
        <v>323</v>
      </c>
      <c r="D279" s="10" t="s">
        <v>328</v>
      </c>
      <c r="E279" s="18" t="s">
        <v>26</v>
      </c>
      <c r="F279" s="12"/>
      <c r="G279" s="9"/>
    </row>
    <row r="280" customFormat="false" ht="27.75" hidden="false" customHeight="true" outlineLevel="0" collapsed="false">
      <c r="A280" s="13" t="n">
        <v>238</v>
      </c>
      <c r="B280" s="14" t="s">
        <v>322</v>
      </c>
      <c r="C280" s="14" t="s">
        <v>323</v>
      </c>
      <c r="D280" s="15" t="s">
        <v>329</v>
      </c>
      <c r="E280" s="18" t="s">
        <v>26</v>
      </c>
      <c r="F280" s="16"/>
      <c r="G280" s="14"/>
    </row>
    <row r="281" customFormat="false" ht="27.75" hidden="false" customHeight="true" outlineLevel="0" collapsed="false">
      <c r="A281" s="8" t="n">
        <v>239</v>
      </c>
      <c r="B281" s="9" t="s">
        <v>322</v>
      </c>
      <c r="C281" s="9" t="s">
        <v>323</v>
      </c>
      <c r="D281" s="10" t="s">
        <v>330</v>
      </c>
      <c r="E281" s="17" t="s">
        <v>19</v>
      </c>
      <c r="F281" s="12"/>
      <c r="G281" s="9"/>
    </row>
    <row r="282" customFormat="false" ht="27.75" hidden="false" customHeight="true" outlineLevel="0" collapsed="false">
      <c r="A282" s="13" t="n">
        <v>240</v>
      </c>
      <c r="B282" s="14" t="s">
        <v>322</v>
      </c>
      <c r="C282" s="14" t="s">
        <v>323</v>
      </c>
      <c r="D282" s="15" t="s">
        <v>331</v>
      </c>
      <c r="E282" s="19" t="s">
        <v>39</v>
      </c>
      <c r="F282" s="16"/>
      <c r="G282" s="14"/>
    </row>
    <row r="283" customFormat="false" ht="27.75" hidden="false" customHeight="true" outlineLevel="0" collapsed="false">
      <c r="A283" s="8" t="n">
        <v>241</v>
      </c>
      <c r="B283" s="9" t="s">
        <v>322</v>
      </c>
      <c r="C283" s="9" t="s">
        <v>323</v>
      </c>
      <c r="D283" s="10" t="s">
        <v>332</v>
      </c>
      <c r="E283" s="19" t="s">
        <v>39</v>
      </c>
      <c r="F283" s="12"/>
      <c r="G283" s="9"/>
    </row>
    <row r="284" customFormat="false" ht="25.5" hidden="false" customHeight="true" outlineLevel="0" collapsed="false">
      <c r="A284" s="7" t="s">
        <v>333</v>
      </c>
      <c r="B284" s="7"/>
      <c r="C284" s="7"/>
      <c r="D284" s="7"/>
      <c r="E284" s="7"/>
      <c r="F284" s="7"/>
      <c r="G284" s="7"/>
    </row>
    <row r="285" customFormat="false" ht="27.75" hidden="false" customHeight="true" outlineLevel="0" collapsed="false">
      <c r="A285" s="8" t="n">
        <v>242</v>
      </c>
      <c r="B285" s="9" t="s">
        <v>322</v>
      </c>
      <c r="C285" s="9" t="s">
        <v>334</v>
      </c>
      <c r="D285" s="10" t="s">
        <v>335</v>
      </c>
      <c r="E285" s="11" t="s">
        <v>15</v>
      </c>
      <c r="F285" s="12"/>
      <c r="G285" s="9"/>
    </row>
    <row r="286" customFormat="false" ht="27.75" hidden="false" customHeight="true" outlineLevel="0" collapsed="false">
      <c r="A286" s="13" t="n">
        <v>243</v>
      </c>
      <c r="B286" s="14" t="s">
        <v>322</v>
      </c>
      <c r="C286" s="14" t="s">
        <v>334</v>
      </c>
      <c r="D286" s="15" t="s">
        <v>336</v>
      </c>
      <c r="E286" s="11" t="s">
        <v>15</v>
      </c>
      <c r="F286" s="16"/>
      <c r="G286" s="14"/>
    </row>
    <row r="287" customFormat="false" ht="27.75" hidden="false" customHeight="true" outlineLevel="0" collapsed="false">
      <c r="A287" s="8" t="n">
        <v>244</v>
      </c>
      <c r="B287" s="9" t="s">
        <v>322</v>
      </c>
      <c r="C287" s="9" t="s">
        <v>334</v>
      </c>
      <c r="D287" s="10" t="s">
        <v>337</v>
      </c>
      <c r="E287" s="17" t="s">
        <v>19</v>
      </c>
      <c r="F287" s="12"/>
      <c r="G287" s="9"/>
    </row>
    <row r="288" customFormat="false" ht="27.75" hidden="false" customHeight="true" outlineLevel="0" collapsed="false">
      <c r="A288" s="13" t="n">
        <v>245</v>
      </c>
      <c r="B288" s="14" t="s">
        <v>322</v>
      </c>
      <c r="C288" s="14" t="s">
        <v>334</v>
      </c>
      <c r="D288" s="15" t="s">
        <v>338</v>
      </c>
      <c r="E288" s="18" t="s">
        <v>26</v>
      </c>
      <c r="F288" s="16"/>
      <c r="G288" s="14"/>
    </row>
    <row r="289" customFormat="false" ht="27.75" hidden="false" customHeight="true" outlineLevel="0" collapsed="false">
      <c r="A289" s="8" t="n">
        <v>246</v>
      </c>
      <c r="B289" s="9" t="s">
        <v>322</v>
      </c>
      <c r="C289" s="9" t="s">
        <v>334</v>
      </c>
      <c r="D289" s="10" t="s">
        <v>339</v>
      </c>
      <c r="E289" s="18" t="s">
        <v>26</v>
      </c>
      <c r="F289" s="12"/>
      <c r="G289" s="9"/>
    </row>
    <row r="290" customFormat="false" ht="27.75" hidden="false" customHeight="true" outlineLevel="0" collapsed="false">
      <c r="A290" s="13" t="n">
        <v>247</v>
      </c>
      <c r="B290" s="14" t="s">
        <v>322</v>
      </c>
      <c r="C290" s="14" t="s">
        <v>334</v>
      </c>
      <c r="D290" s="15" t="s">
        <v>340</v>
      </c>
      <c r="E290" s="17" t="s">
        <v>19</v>
      </c>
      <c r="F290" s="16"/>
      <c r="G290" s="14"/>
    </row>
    <row r="291" customFormat="false" ht="27.75" hidden="false" customHeight="true" outlineLevel="0" collapsed="false">
      <c r="A291" s="8" t="n">
        <v>248</v>
      </c>
      <c r="B291" s="9" t="s">
        <v>322</v>
      </c>
      <c r="C291" s="9" t="s">
        <v>334</v>
      </c>
      <c r="D291" s="10" t="s">
        <v>341</v>
      </c>
      <c r="E291" s="19" t="s">
        <v>39</v>
      </c>
      <c r="F291" s="12"/>
      <c r="G291" s="9"/>
    </row>
    <row r="292" customFormat="false" ht="27.75" hidden="false" customHeight="true" outlineLevel="0" collapsed="false">
      <c r="A292" s="13" t="n">
        <v>249</v>
      </c>
      <c r="B292" s="14" t="s">
        <v>322</v>
      </c>
      <c r="C292" s="14" t="s">
        <v>334</v>
      </c>
      <c r="D292" s="15" t="s">
        <v>342</v>
      </c>
      <c r="E292" s="18" t="s">
        <v>26</v>
      </c>
      <c r="F292" s="16"/>
      <c r="G292" s="14"/>
    </row>
    <row r="293" customFormat="false" ht="27.75" hidden="false" customHeight="true" outlineLevel="0" collapsed="false">
      <c r="A293" s="8" t="n">
        <v>250</v>
      </c>
      <c r="B293" s="9" t="s">
        <v>322</v>
      </c>
      <c r="C293" s="9" t="s">
        <v>334</v>
      </c>
      <c r="D293" s="10" t="s">
        <v>343</v>
      </c>
      <c r="E293" s="19" t="s">
        <v>39</v>
      </c>
      <c r="F293" s="12"/>
      <c r="G293" s="9"/>
    </row>
    <row r="294" customFormat="false" ht="25.5" hidden="false" customHeight="true" outlineLevel="0" collapsed="false">
      <c r="A294" s="7" t="s">
        <v>344</v>
      </c>
      <c r="B294" s="7"/>
      <c r="C294" s="7"/>
      <c r="D294" s="7"/>
      <c r="E294" s="7"/>
      <c r="F294" s="7"/>
      <c r="G294" s="7"/>
    </row>
    <row r="295" customFormat="false" ht="27.75" hidden="false" customHeight="true" outlineLevel="0" collapsed="false">
      <c r="A295" s="8" t="n">
        <v>251</v>
      </c>
      <c r="B295" s="9" t="s">
        <v>322</v>
      </c>
      <c r="C295" s="9" t="s">
        <v>345</v>
      </c>
      <c r="D295" s="10" t="s">
        <v>346</v>
      </c>
      <c r="E295" s="11" t="s">
        <v>15</v>
      </c>
      <c r="F295" s="12"/>
      <c r="G295" s="9"/>
    </row>
    <row r="296" customFormat="false" ht="27.75" hidden="false" customHeight="true" outlineLevel="0" collapsed="false">
      <c r="A296" s="13" t="n">
        <v>252</v>
      </c>
      <c r="B296" s="14" t="s">
        <v>322</v>
      </c>
      <c r="C296" s="14" t="s">
        <v>345</v>
      </c>
      <c r="D296" s="15" t="s">
        <v>347</v>
      </c>
      <c r="E296" s="11" t="s">
        <v>15</v>
      </c>
      <c r="F296" s="16"/>
      <c r="G296" s="14"/>
    </row>
    <row r="297" customFormat="false" ht="27.75" hidden="false" customHeight="true" outlineLevel="0" collapsed="false">
      <c r="A297" s="8" t="n">
        <v>253</v>
      </c>
      <c r="B297" s="9" t="s">
        <v>322</v>
      </c>
      <c r="C297" s="9" t="s">
        <v>345</v>
      </c>
      <c r="D297" s="10" t="s">
        <v>348</v>
      </c>
      <c r="E297" s="17" t="s">
        <v>19</v>
      </c>
      <c r="F297" s="12"/>
      <c r="G297" s="9"/>
    </row>
    <row r="298" customFormat="false" ht="27.75" hidden="false" customHeight="true" outlineLevel="0" collapsed="false">
      <c r="A298" s="13" t="n">
        <v>254</v>
      </c>
      <c r="B298" s="14" t="s">
        <v>322</v>
      </c>
      <c r="C298" s="14" t="s">
        <v>345</v>
      </c>
      <c r="D298" s="15" t="s">
        <v>349</v>
      </c>
      <c r="E298" s="18" t="s">
        <v>26</v>
      </c>
      <c r="F298" s="16"/>
      <c r="G298" s="14"/>
    </row>
    <row r="299" customFormat="false" ht="25.5" hidden="false" customHeight="true" outlineLevel="0" collapsed="false">
      <c r="A299" s="7" t="s">
        <v>350</v>
      </c>
      <c r="B299" s="7"/>
      <c r="C299" s="7"/>
      <c r="D299" s="7"/>
      <c r="E299" s="7"/>
      <c r="F299" s="7"/>
      <c r="G299" s="7"/>
    </row>
    <row r="300" customFormat="false" ht="27.75" hidden="false" customHeight="true" outlineLevel="0" collapsed="false">
      <c r="A300" s="13" t="n">
        <v>255</v>
      </c>
      <c r="B300" s="14" t="s">
        <v>322</v>
      </c>
      <c r="C300" s="14" t="s">
        <v>351</v>
      </c>
      <c r="D300" s="15" t="s">
        <v>352</v>
      </c>
      <c r="E300" s="17" t="s">
        <v>19</v>
      </c>
      <c r="F300" s="16"/>
      <c r="G300" s="14"/>
    </row>
    <row r="301" customFormat="false" ht="27.75" hidden="false" customHeight="true" outlineLevel="0" collapsed="false">
      <c r="A301" s="8" t="n">
        <v>256</v>
      </c>
      <c r="B301" s="9" t="s">
        <v>322</v>
      </c>
      <c r="C301" s="9" t="s">
        <v>351</v>
      </c>
      <c r="D301" s="10" t="s">
        <v>353</v>
      </c>
      <c r="E301" s="11" t="s">
        <v>15</v>
      </c>
      <c r="F301" s="12"/>
      <c r="G301" s="9"/>
    </row>
    <row r="302" customFormat="false" ht="27.75" hidden="false" customHeight="true" outlineLevel="0" collapsed="false">
      <c r="A302" s="13" t="n">
        <v>257</v>
      </c>
      <c r="B302" s="14" t="s">
        <v>322</v>
      </c>
      <c r="C302" s="14" t="s">
        <v>351</v>
      </c>
      <c r="D302" s="15" t="s">
        <v>354</v>
      </c>
      <c r="E302" s="18" t="s">
        <v>26</v>
      </c>
      <c r="F302" s="16"/>
      <c r="G302" s="14"/>
    </row>
    <row r="303" customFormat="false" ht="27.75" hidden="false" customHeight="true" outlineLevel="0" collapsed="false">
      <c r="A303" s="8" t="n">
        <v>258</v>
      </c>
      <c r="B303" s="9" t="s">
        <v>322</v>
      </c>
      <c r="C303" s="9" t="s">
        <v>351</v>
      </c>
      <c r="D303" s="10" t="s">
        <v>355</v>
      </c>
      <c r="E303" s="17" t="s">
        <v>19</v>
      </c>
      <c r="F303" s="12"/>
      <c r="G303" s="9"/>
    </row>
    <row r="304" customFormat="false" ht="27.75" hidden="false" customHeight="true" outlineLevel="0" collapsed="false">
      <c r="A304" s="13" t="n">
        <v>259</v>
      </c>
      <c r="B304" s="14" t="s">
        <v>322</v>
      </c>
      <c r="C304" s="14" t="s">
        <v>351</v>
      </c>
      <c r="D304" s="15" t="s">
        <v>356</v>
      </c>
      <c r="E304" s="18" t="s">
        <v>26</v>
      </c>
      <c r="F304" s="16"/>
      <c r="G304" s="14"/>
    </row>
    <row r="305" customFormat="false" ht="27.75" hidden="false" customHeight="true" outlineLevel="0" collapsed="false">
      <c r="A305" s="8" t="n">
        <v>260</v>
      </c>
      <c r="B305" s="9" t="s">
        <v>322</v>
      </c>
      <c r="C305" s="9" t="s">
        <v>351</v>
      </c>
      <c r="D305" s="10" t="s">
        <v>357</v>
      </c>
      <c r="E305" s="19" t="s">
        <v>39</v>
      </c>
      <c r="F305" s="12"/>
      <c r="G305" s="9"/>
    </row>
    <row r="306" customFormat="false" ht="27.75" hidden="false" customHeight="true" outlineLevel="0" collapsed="false">
      <c r="A306" s="13" t="n">
        <v>261</v>
      </c>
      <c r="B306" s="14" t="s">
        <v>322</v>
      </c>
      <c r="C306" s="14" t="s">
        <v>351</v>
      </c>
      <c r="D306" s="15" t="s">
        <v>358</v>
      </c>
      <c r="E306" s="17" t="s">
        <v>19</v>
      </c>
      <c r="F306" s="16"/>
      <c r="G306" s="14"/>
    </row>
    <row r="307" customFormat="false" ht="27.75" hidden="false" customHeight="true" outlineLevel="0" collapsed="false">
      <c r="A307" s="8" t="n">
        <v>262</v>
      </c>
      <c r="B307" s="9" t="s">
        <v>322</v>
      </c>
      <c r="C307" s="9" t="s">
        <v>351</v>
      </c>
      <c r="D307" s="10" t="s">
        <v>359</v>
      </c>
      <c r="E307" s="18" t="s">
        <v>26</v>
      </c>
      <c r="F307" s="12"/>
      <c r="G307" s="9"/>
    </row>
    <row r="308" customFormat="false" ht="27.75" hidden="false" customHeight="true" outlineLevel="0" collapsed="false">
      <c r="A308" s="13" t="n">
        <v>263</v>
      </c>
      <c r="B308" s="14" t="s">
        <v>322</v>
      </c>
      <c r="C308" s="14" t="s">
        <v>351</v>
      </c>
      <c r="D308" s="15" t="s">
        <v>360</v>
      </c>
      <c r="E308" s="20" t="s">
        <v>45</v>
      </c>
      <c r="F308" s="16"/>
      <c r="G308" s="14"/>
    </row>
    <row r="309" customFormat="false" ht="27.75" hidden="false" customHeight="true" outlineLevel="0" collapsed="false">
      <c r="A309" s="8" t="n">
        <v>264</v>
      </c>
      <c r="B309" s="9" t="s">
        <v>322</v>
      </c>
      <c r="C309" s="9" t="s">
        <v>351</v>
      </c>
      <c r="D309" s="10" t="s">
        <v>361</v>
      </c>
      <c r="E309" s="18" t="s">
        <v>26</v>
      </c>
      <c r="F309" s="12"/>
      <c r="G309" s="9"/>
    </row>
    <row r="310" customFormat="false" ht="27.75" hidden="false" customHeight="true" outlineLevel="0" collapsed="false">
      <c r="A310" s="13" t="n">
        <v>265</v>
      </c>
      <c r="B310" s="14" t="s">
        <v>322</v>
      </c>
      <c r="C310" s="14" t="s">
        <v>351</v>
      </c>
      <c r="D310" s="15" t="s">
        <v>362</v>
      </c>
      <c r="E310" s="19" t="s">
        <v>39</v>
      </c>
      <c r="F310" s="16"/>
      <c r="G310" s="14"/>
    </row>
    <row r="311" customFormat="false" ht="27.75" hidden="false" customHeight="true" outlineLevel="0" collapsed="false">
      <c r="A311" s="8" t="n">
        <v>266</v>
      </c>
      <c r="B311" s="9" t="s">
        <v>322</v>
      </c>
      <c r="C311" s="9" t="s">
        <v>351</v>
      </c>
      <c r="D311" s="10" t="s">
        <v>363</v>
      </c>
      <c r="E311" s="19" t="s">
        <v>39</v>
      </c>
      <c r="F311" s="12"/>
      <c r="G311" s="9"/>
    </row>
    <row r="312" customFormat="false" ht="27.75" hidden="false" customHeight="true" outlineLevel="0" collapsed="false">
      <c r="A312" s="13" t="n">
        <v>267</v>
      </c>
      <c r="B312" s="14" t="s">
        <v>322</v>
      </c>
      <c r="C312" s="14" t="s">
        <v>351</v>
      </c>
      <c r="D312" s="15" t="s">
        <v>364</v>
      </c>
      <c r="E312" s="19" t="s">
        <v>39</v>
      </c>
      <c r="F312" s="16"/>
      <c r="G312" s="14"/>
    </row>
    <row r="313" customFormat="false" ht="30" hidden="false" customHeight="true" outlineLevel="0" collapsed="false">
      <c r="A313" s="6" t="s">
        <v>365</v>
      </c>
      <c r="B313" s="6"/>
      <c r="C313" s="6"/>
      <c r="D313" s="6"/>
      <c r="E313" s="6"/>
      <c r="F313" s="6"/>
      <c r="G313" s="6"/>
    </row>
    <row r="314" customFormat="false" ht="25.5" hidden="false" customHeight="true" outlineLevel="0" collapsed="false">
      <c r="A314" s="7" t="s">
        <v>366</v>
      </c>
      <c r="B314" s="7"/>
      <c r="C314" s="7"/>
      <c r="D314" s="7"/>
      <c r="E314" s="7"/>
      <c r="F314" s="7"/>
      <c r="G314" s="7"/>
    </row>
    <row r="315" customFormat="false" ht="27.75" hidden="false" customHeight="true" outlineLevel="0" collapsed="false">
      <c r="A315" s="8" t="n">
        <v>268</v>
      </c>
      <c r="B315" s="9" t="s">
        <v>367</v>
      </c>
      <c r="C315" s="9" t="s">
        <v>368</v>
      </c>
      <c r="D315" s="10" t="s">
        <v>369</v>
      </c>
      <c r="E315" s="11" t="s">
        <v>15</v>
      </c>
      <c r="F315" s="12"/>
      <c r="G315" s="9"/>
    </row>
    <row r="316" customFormat="false" ht="27.75" hidden="false" customHeight="true" outlineLevel="0" collapsed="false">
      <c r="A316" s="13" t="n">
        <v>269</v>
      </c>
      <c r="B316" s="14" t="s">
        <v>367</v>
      </c>
      <c r="C316" s="14" t="s">
        <v>368</v>
      </c>
      <c r="D316" s="15" t="s">
        <v>370</v>
      </c>
      <c r="E316" s="18" t="s">
        <v>26</v>
      </c>
      <c r="F316" s="16"/>
      <c r="G316" s="14"/>
    </row>
    <row r="317" customFormat="false" ht="27.75" hidden="false" customHeight="true" outlineLevel="0" collapsed="false">
      <c r="A317" s="8" t="n">
        <v>270</v>
      </c>
      <c r="B317" s="9" t="s">
        <v>367</v>
      </c>
      <c r="C317" s="9" t="s">
        <v>368</v>
      </c>
      <c r="D317" s="10" t="s">
        <v>371</v>
      </c>
      <c r="E317" s="17" t="s">
        <v>19</v>
      </c>
      <c r="F317" s="12"/>
      <c r="G317" s="9"/>
    </row>
    <row r="318" customFormat="false" ht="27.75" hidden="false" customHeight="true" outlineLevel="0" collapsed="false">
      <c r="A318" s="13" t="n">
        <v>271</v>
      </c>
      <c r="B318" s="14" t="s">
        <v>367</v>
      </c>
      <c r="C318" s="14" t="s">
        <v>368</v>
      </c>
      <c r="D318" s="15" t="s">
        <v>372</v>
      </c>
      <c r="E318" s="11" t="s">
        <v>15</v>
      </c>
      <c r="F318" s="16"/>
      <c r="G318" s="14"/>
    </row>
    <row r="319" customFormat="false" ht="27.75" hidden="false" customHeight="true" outlineLevel="0" collapsed="false">
      <c r="A319" s="8" t="n">
        <v>272</v>
      </c>
      <c r="B319" s="9" t="s">
        <v>367</v>
      </c>
      <c r="C319" s="9" t="s">
        <v>368</v>
      </c>
      <c r="D319" s="10" t="s">
        <v>373</v>
      </c>
      <c r="E319" s="17" t="s">
        <v>19</v>
      </c>
      <c r="F319" s="12"/>
      <c r="G319" s="9"/>
    </row>
    <row r="320" customFormat="false" ht="27.75" hidden="false" customHeight="true" outlineLevel="0" collapsed="false">
      <c r="A320" s="13" t="n">
        <v>273</v>
      </c>
      <c r="B320" s="14" t="s">
        <v>367</v>
      </c>
      <c r="C320" s="14" t="s">
        <v>368</v>
      </c>
      <c r="D320" s="15" t="s">
        <v>374</v>
      </c>
      <c r="E320" s="11" t="s">
        <v>15</v>
      </c>
      <c r="F320" s="16"/>
      <c r="G320" s="14"/>
    </row>
    <row r="321" customFormat="false" ht="27.75" hidden="false" customHeight="true" outlineLevel="0" collapsed="false">
      <c r="A321" s="8" t="n">
        <v>274</v>
      </c>
      <c r="B321" s="9" t="s">
        <v>367</v>
      </c>
      <c r="C321" s="9" t="s">
        <v>368</v>
      </c>
      <c r="D321" s="10" t="s">
        <v>375</v>
      </c>
      <c r="E321" s="18" t="s">
        <v>26</v>
      </c>
      <c r="F321" s="12"/>
      <c r="G321" s="9"/>
    </row>
    <row r="322" customFormat="false" ht="27.75" hidden="false" customHeight="true" outlineLevel="0" collapsed="false">
      <c r="A322" s="13" t="n">
        <v>275</v>
      </c>
      <c r="B322" s="14" t="s">
        <v>367</v>
      </c>
      <c r="C322" s="14" t="s">
        <v>368</v>
      </c>
      <c r="D322" s="15" t="s">
        <v>376</v>
      </c>
      <c r="E322" s="19" t="s">
        <v>39</v>
      </c>
      <c r="F322" s="16"/>
      <c r="G322" s="14"/>
    </row>
    <row r="323" customFormat="false" ht="27.75" hidden="false" customHeight="true" outlineLevel="0" collapsed="false">
      <c r="A323" s="8" t="n">
        <v>276</v>
      </c>
      <c r="B323" s="9" t="s">
        <v>367</v>
      </c>
      <c r="C323" s="9" t="s">
        <v>368</v>
      </c>
      <c r="D323" s="10" t="s">
        <v>377</v>
      </c>
      <c r="E323" s="17" t="s">
        <v>19</v>
      </c>
      <c r="F323" s="12"/>
      <c r="G323" s="9"/>
    </row>
    <row r="324" customFormat="false" ht="27.75" hidden="false" customHeight="true" outlineLevel="0" collapsed="false">
      <c r="A324" s="13" t="n">
        <v>277</v>
      </c>
      <c r="B324" s="14" t="s">
        <v>367</v>
      </c>
      <c r="C324" s="14" t="s">
        <v>368</v>
      </c>
      <c r="D324" s="15" t="s">
        <v>378</v>
      </c>
      <c r="E324" s="17" t="s">
        <v>19</v>
      </c>
      <c r="F324" s="16"/>
      <c r="G324" s="14"/>
    </row>
    <row r="325" customFormat="false" ht="27.75" hidden="false" customHeight="true" outlineLevel="0" collapsed="false">
      <c r="A325" s="8" t="n">
        <v>278</v>
      </c>
      <c r="B325" s="9" t="s">
        <v>367</v>
      </c>
      <c r="C325" s="9" t="s">
        <v>368</v>
      </c>
      <c r="D325" s="10" t="s">
        <v>379</v>
      </c>
      <c r="E325" s="17" t="s">
        <v>19</v>
      </c>
      <c r="F325" s="12"/>
      <c r="G325" s="9"/>
    </row>
    <row r="326" customFormat="false" ht="25.5" hidden="false" customHeight="true" outlineLevel="0" collapsed="false">
      <c r="A326" s="7" t="s">
        <v>380</v>
      </c>
      <c r="B326" s="7"/>
      <c r="C326" s="7"/>
      <c r="D326" s="7"/>
      <c r="E326" s="7"/>
      <c r="F326" s="7"/>
      <c r="G326" s="7"/>
    </row>
    <row r="327" customFormat="false" ht="27.75" hidden="false" customHeight="true" outlineLevel="0" collapsed="false">
      <c r="A327" s="8" t="n">
        <v>279</v>
      </c>
      <c r="B327" s="9" t="s">
        <v>367</v>
      </c>
      <c r="C327" s="9" t="s">
        <v>381</v>
      </c>
      <c r="D327" s="10" t="s">
        <v>382</v>
      </c>
      <c r="E327" s="17" t="s">
        <v>19</v>
      </c>
      <c r="F327" s="12"/>
      <c r="G327" s="9"/>
    </row>
    <row r="328" customFormat="false" ht="27.75" hidden="false" customHeight="true" outlineLevel="0" collapsed="false">
      <c r="A328" s="13" t="n">
        <v>280</v>
      </c>
      <c r="B328" s="14" t="s">
        <v>367</v>
      </c>
      <c r="C328" s="14" t="s">
        <v>381</v>
      </c>
      <c r="D328" s="15" t="s">
        <v>383</v>
      </c>
      <c r="E328" s="18" t="s">
        <v>26</v>
      </c>
      <c r="F328" s="16"/>
      <c r="G328" s="14"/>
    </row>
    <row r="329" customFormat="false" ht="27.75" hidden="false" customHeight="true" outlineLevel="0" collapsed="false">
      <c r="A329" s="8" t="n">
        <v>281</v>
      </c>
      <c r="B329" s="9" t="s">
        <v>367</v>
      </c>
      <c r="C329" s="9" t="s">
        <v>381</v>
      </c>
      <c r="D329" s="10" t="s">
        <v>384</v>
      </c>
      <c r="E329" s="18" t="s">
        <v>26</v>
      </c>
      <c r="F329" s="12"/>
      <c r="G329" s="9"/>
    </row>
    <row r="330" customFormat="false" ht="27.75" hidden="false" customHeight="true" outlineLevel="0" collapsed="false">
      <c r="A330" s="13" t="n">
        <v>282</v>
      </c>
      <c r="B330" s="14" t="s">
        <v>367</v>
      </c>
      <c r="C330" s="14" t="s">
        <v>381</v>
      </c>
      <c r="D330" s="15" t="s">
        <v>385</v>
      </c>
      <c r="E330" s="18" t="s">
        <v>26</v>
      </c>
      <c r="F330" s="16"/>
      <c r="G330" s="14"/>
    </row>
    <row r="331" customFormat="false" ht="27.75" hidden="false" customHeight="true" outlineLevel="0" collapsed="false">
      <c r="A331" s="8" t="n">
        <v>283</v>
      </c>
      <c r="B331" s="9" t="s">
        <v>367</v>
      </c>
      <c r="C331" s="9" t="s">
        <v>381</v>
      </c>
      <c r="D331" s="10" t="s">
        <v>386</v>
      </c>
      <c r="E331" s="18" t="s">
        <v>26</v>
      </c>
      <c r="F331" s="12"/>
      <c r="G331" s="9"/>
    </row>
    <row r="332" customFormat="false" ht="27.75" hidden="false" customHeight="true" outlineLevel="0" collapsed="false">
      <c r="A332" s="13" t="n">
        <v>284</v>
      </c>
      <c r="B332" s="14" t="s">
        <v>367</v>
      </c>
      <c r="C332" s="14" t="s">
        <v>381</v>
      </c>
      <c r="D332" s="15" t="s">
        <v>387</v>
      </c>
      <c r="E332" s="17" t="s">
        <v>19</v>
      </c>
      <c r="F332" s="16"/>
      <c r="G332" s="14"/>
    </row>
    <row r="333" customFormat="false" ht="27.75" hidden="false" customHeight="true" outlineLevel="0" collapsed="false">
      <c r="A333" s="8" t="n">
        <v>285</v>
      </c>
      <c r="B333" s="9" t="s">
        <v>367</v>
      </c>
      <c r="C333" s="9" t="s">
        <v>381</v>
      </c>
      <c r="D333" s="10" t="s">
        <v>388</v>
      </c>
      <c r="E333" s="18" t="s">
        <v>26</v>
      </c>
      <c r="F333" s="12"/>
      <c r="G333" s="9"/>
    </row>
    <row r="334" customFormat="false" ht="27.75" hidden="false" customHeight="true" outlineLevel="0" collapsed="false">
      <c r="A334" s="13" t="n">
        <v>286</v>
      </c>
      <c r="B334" s="14" t="s">
        <v>367</v>
      </c>
      <c r="C334" s="14" t="s">
        <v>381</v>
      </c>
      <c r="D334" s="15" t="s">
        <v>389</v>
      </c>
      <c r="E334" s="18" t="s">
        <v>26</v>
      </c>
      <c r="F334" s="16"/>
      <c r="G334" s="14"/>
    </row>
    <row r="335" customFormat="false" ht="27.75" hidden="false" customHeight="true" outlineLevel="0" collapsed="false">
      <c r="A335" s="8" t="n">
        <v>287</v>
      </c>
      <c r="B335" s="9" t="s">
        <v>367</v>
      </c>
      <c r="C335" s="9" t="s">
        <v>381</v>
      </c>
      <c r="D335" s="10" t="s">
        <v>390</v>
      </c>
      <c r="E335" s="18" t="s">
        <v>26</v>
      </c>
      <c r="F335" s="12"/>
      <c r="G335" s="9"/>
    </row>
    <row r="336" customFormat="false" ht="27.75" hidden="false" customHeight="true" outlineLevel="0" collapsed="false">
      <c r="A336" s="13" t="n">
        <v>288</v>
      </c>
      <c r="B336" s="14" t="s">
        <v>367</v>
      </c>
      <c r="C336" s="14" t="s">
        <v>381</v>
      </c>
      <c r="D336" s="15" t="s">
        <v>391</v>
      </c>
      <c r="E336" s="17" t="s">
        <v>19</v>
      </c>
      <c r="F336" s="16"/>
      <c r="G336" s="14"/>
    </row>
    <row r="337" customFormat="false" ht="27.75" hidden="false" customHeight="true" outlineLevel="0" collapsed="false">
      <c r="A337" s="8" t="n">
        <v>289</v>
      </c>
      <c r="B337" s="9" t="s">
        <v>367</v>
      </c>
      <c r="C337" s="9" t="s">
        <v>381</v>
      </c>
      <c r="D337" s="10" t="s">
        <v>392</v>
      </c>
      <c r="E337" s="18" t="s">
        <v>26</v>
      </c>
      <c r="F337" s="12"/>
      <c r="G337" s="9"/>
    </row>
    <row r="338" customFormat="false" ht="27.75" hidden="false" customHeight="true" outlineLevel="0" collapsed="false">
      <c r="A338" s="13" t="n">
        <v>290</v>
      </c>
      <c r="B338" s="14" t="s">
        <v>367</v>
      </c>
      <c r="C338" s="14" t="s">
        <v>381</v>
      </c>
      <c r="D338" s="15" t="s">
        <v>393</v>
      </c>
      <c r="E338" s="19" t="s">
        <v>39</v>
      </c>
      <c r="F338" s="16"/>
      <c r="G338" s="14"/>
    </row>
    <row r="339" customFormat="false" ht="27.75" hidden="false" customHeight="true" outlineLevel="0" collapsed="false">
      <c r="A339" s="8" t="n">
        <v>291</v>
      </c>
      <c r="B339" s="9" t="s">
        <v>367</v>
      </c>
      <c r="C339" s="9" t="s">
        <v>381</v>
      </c>
      <c r="D339" s="10" t="s">
        <v>394</v>
      </c>
      <c r="E339" s="19" t="s">
        <v>39</v>
      </c>
      <c r="F339" s="12"/>
      <c r="G339" s="9"/>
    </row>
    <row r="340" customFormat="false" ht="30" hidden="false" customHeight="true" outlineLevel="0" collapsed="false">
      <c r="A340" s="6" t="s">
        <v>395</v>
      </c>
      <c r="B340" s="6"/>
      <c r="C340" s="6"/>
      <c r="D340" s="6"/>
      <c r="E340" s="6"/>
      <c r="F340" s="6"/>
      <c r="G340" s="6"/>
    </row>
    <row r="341" customFormat="false" ht="25.5" hidden="false" customHeight="true" outlineLevel="0" collapsed="false">
      <c r="A341" s="7" t="s">
        <v>396</v>
      </c>
      <c r="B341" s="7"/>
      <c r="C341" s="7"/>
      <c r="D341" s="7"/>
      <c r="E341" s="7"/>
      <c r="F341" s="7"/>
      <c r="G341" s="7"/>
    </row>
    <row r="342" customFormat="false" ht="27.75" hidden="false" customHeight="true" outlineLevel="0" collapsed="false">
      <c r="A342" s="13" t="n">
        <v>292</v>
      </c>
      <c r="B342" s="14" t="s">
        <v>397</v>
      </c>
      <c r="C342" s="14" t="s">
        <v>398</v>
      </c>
      <c r="D342" s="15" t="s">
        <v>399</v>
      </c>
      <c r="E342" s="17" t="s">
        <v>19</v>
      </c>
      <c r="F342" s="16"/>
      <c r="G342" s="14"/>
    </row>
    <row r="343" customFormat="false" ht="27.75" hidden="false" customHeight="true" outlineLevel="0" collapsed="false">
      <c r="A343" s="8" t="n">
        <v>293</v>
      </c>
      <c r="B343" s="9" t="s">
        <v>397</v>
      </c>
      <c r="C343" s="9" t="s">
        <v>398</v>
      </c>
      <c r="D343" s="10" t="s">
        <v>342</v>
      </c>
      <c r="E343" s="18" t="s">
        <v>26</v>
      </c>
      <c r="F343" s="12"/>
      <c r="G343" s="9"/>
    </row>
    <row r="344" customFormat="false" ht="27.75" hidden="false" customHeight="true" outlineLevel="0" collapsed="false">
      <c r="A344" s="13" t="n">
        <v>294</v>
      </c>
      <c r="B344" s="14" t="s">
        <v>397</v>
      </c>
      <c r="C344" s="14" t="s">
        <v>398</v>
      </c>
      <c r="D344" s="15" t="s">
        <v>400</v>
      </c>
      <c r="E344" s="19" t="s">
        <v>39</v>
      </c>
      <c r="F344" s="16"/>
      <c r="G344" s="14"/>
    </row>
    <row r="345" customFormat="false" ht="27.75" hidden="false" customHeight="true" outlineLevel="0" collapsed="false">
      <c r="A345" s="8" t="n">
        <v>295</v>
      </c>
      <c r="B345" s="9" t="s">
        <v>397</v>
      </c>
      <c r="C345" s="9" t="s">
        <v>398</v>
      </c>
      <c r="D345" s="10" t="s">
        <v>401</v>
      </c>
      <c r="E345" s="18" t="s">
        <v>26</v>
      </c>
      <c r="F345" s="12"/>
      <c r="G345" s="9"/>
    </row>
    <row r="346" customFormat="false" ht="27.75" hidden="false" customHeight="true" outlineLevel="0" collapsed="false">
      <c r="A346" s="13" t="n">
        <v>296</v>
      </c>
      <c r="B346" s="14" t="s">
        <v>397</v>
      </c>
      <c r="C346" s="14" t="s">
        <v>398</v>
      </c>
      <c r="D346" s="15" t="s">
        <v>402</v>
      </c>
      <c r="E346" s="18" t="s">
        <v>26</v>
      </c>
      <c r="F346" s="16"/>
      <c r="G346" s="14"/>
    </row>
    <row r="347" customFormat="false" ht="27.75" hidden="false" customHeight="true" outlineLevel="0" collapsed="false">
      <c r="A347" s="8" t="n">
        <v>297</v>
      </c>
      <c r="B347" s="9" t="s">
        <v>397</v>
      </c>
      <c r="C347" s="9" t="s">
        <v>398</v>
      </c>
      <c r="D347" s="10" t="s">
        <v>403</v>
      </c>
      <c r="E347" s="18" t="s">
        <v>26</v>
      </c>
      <c r="F347" s="12"/>
      <c r="G347" s="9"/>
    </row>
    <row r="348" customFormat="false" ht="27.75" hidden="false" customHeight="true" outlineLevel="0" collapsed="false">
      <c r="A348" s="13" t="n">
        <v>298</v>
      </c>
      <c r="B348" s="14" t="s">
        <v>397</v>
      </c>
      <c r="C348" s="14" t="s">
        <v>398</v>
      </c>
      <c r="D348" s="15" t="s">
        <v>404</v>
      </c>
      <c r="E348" s="18" t="s">
        <v>26</v>
      </c>
      <c r="F348" s="16"/>
      <c r="G348" s="14"/>
    </row>
    <row r="349" customFormat="false" ht="27.75" hidden="false" customHeight="true" outlineLevel="0" collapsed="false">
      <c r="A349" s="8" t="n">
        <v>299</v>
      </c>
      <c r="B349" s="9" t="s">
        <v>397</v>
      </c>
      <c r="C349" s="9" t="s">
        <v>398</v>
      </c>
      <c r="D349" s="10" t="s">
        <v>405</v>
      </c>
      <c r="E349" s="19" t="s">
        <v>39</v>
      </c>
      <c r="F349" s="12"/>
      <c r="G349" s="9"/>
    </row>
    <row r="350" customFormat="false" ht="27.75" hidden="false" customHeight="true" outlineLevel="0" collapsed="false">
      <c r="A350" s="13" t="n">
        <v>300</v>
      </c>
      <c r="B350" s="14" t="s">
        <v>397</v>
      </c>
      <c r="C350" s="14" t="s">
        <v>398</v>
      </c>
      <c r="D350" s="15" t="s">
        <v>406</v>
      </c>
      <c r="E350" s="19" t="s">
        <v>39</v>
      </c>
      <c r="F350" s="16"/>
      <c r="G350" s="14"/>
    </row>
    <row r="351" customFormat="false" ht="27.75" hidden="false" customHeight="true" outlineLevel="0" collapsed="false">
      <c r="A351" s="8" t="n">
        <v>301</v>
      </c>
      <c r="B351" s="9" t="s">
        <v>397</v>
      </c>
      <c r="C351" s="9" t="s">
        <v>398</v>
      </c>
      <c r="D351" s="10" t="s">
        <v>407</v>
      </c>
      <c r="E351" s="19" t="s">
        <v>39</v>
      </c>
      <c r="F351" s="12"/>
      <c r="G351" s="9"/>
    </row>
    <row r="352" customFormat="false" ht="27.75" hidden="false" customHeight="true" outlineLevel="0" collapsed="false">
      <c r="A352" s="13" t="n">
        <v>302</v>
      </c>
      <c r="B352" s="14" t="s">
        <v>397</v>
      </c>
      <c r="C352" s="14" t="s">
        <v>398</v>
      </c>
      <c r="D352" s="15" t="s">
        <v>408</v>
      </c>
      <c r="E352" s="19" t="s">
        <v>39</v>
      </c>
      <c r="F352" s="16"/>
      <c r="G352" s="14"/>
    </row>
    <row r="353" customFormat="false" ht="27.75" hidden="false" customHeight="true" outlineLevel="0" collapsed="false">
      <c r="A353" s="8" t="n">
        <v>303</v>
      </c>
      <c r="B353" s="9" t="s">
        <v>397</v>
      </c>
      <c r="C353" s="9" t="s">
        <v>398</v>
      </c>
      <c r="D353" s="10" t="s">
        <v>409</v>
      </c>
      <c r="E353" s="20" t="s">
        <v>45</v>
      </c>
      <c r="F353" s="12"/>
      <c r="G353" s="9"/>
    </row>
    <row r="354" customFormat="false" ht="25.5" hidden="false" customHeight="true" outlineLevel="0" collapsed="false">
      <c r="A354" s="7" t="s">
        <v>410</v>
      </c>
      <c r="B354" s="7"/>
      <c r="C354" s="7"/>
      <c r="D354" s="7"/>
      <c r="E354" s="7"/>
      <c r="F354" s="7"/>
      <c r="G354" s="7"/>
    </row>
    <row r="355" customFormat="false" ht="27.75" hidden="false" customHeight="true" outlineLevel="0" collapsed="false">
      <c r="A355" s="8" t="n">
        <v>304</v>
      </c>
      <c r="B355" s="9" t="s">
        <v>397</v>
      </c>
      <c r="C355" s="9" t="s">
        <v>411</v>
      </c>
      <c r="D355" s="10" t="s">
        <v>412</v>
      </c>
      <c r="E355" s="17" t="s">
        <v>19</v>
      </c>
      <c r="F355" s="12"/>
      <c r="G355" s="9"/>
    </row>
    <row r="356" customFormat="false" ht="27.75" hidden="false" customHeight="true" outlineLevel="0" collapsed="false">
      <c r="A356" s="13" t="n">
        <v>305</v>
      </c>
      <c r="B356" s="14" t="s">
        <v>397</v>
      </c>
      <c r="C356" s="14" t="s">
        <v>411</v>
      </c>
      <c r="D356" s="15" t="s">
        <v>413</v>
      </c>
      <c r="E356" s="18" t="s">
        <v>26</v>
      </c>
      <c r="F356" s="16"/>
      <c r="G356" s="14"/>
    </row>
    <row r="357" customFormat="false" ht="27.75" hidden="false" customHeight="true" outlineLevel="0" collapsed="false">
      <c r="A357" s="8" t="n">
        <v>306</v>
      </c>
      <c r="B357" s="9" t="s">
        <v>397</v>
      </c>
      <c r="C357" s="9" t="s">
        <v>411</v>
      </c>
      <c r="D357" s="10" t="s">
        <v>414</v>
      </c>
      <c r="E357" s="18" t="s">
        <v>26</v>
      </c>
      <c r="F357" s="12"/>
      <c r="G357" s="9"/>
    </row>
    <row r="358" customFormat="false" ht="27.75" hidden="false" customHeight="true" outlineLevel="0" collapsed="false">
      <c r="A358" s="13" t="n">
        <v>307</v>
      </c>
      <c r="B358" s="14" t="s">
        <v>397</v>
      </c>
      <c r="C358" s="14" t="s">
        <v>411</v>
      </c>
      <c r="D358" s="15" t="s">
        <v>415</v>
      </c>
      <c r="E358" s="18" t="s">
        <v>26</v>
      </c>
      <c r="F358" s="16"/>
      <c r="G358" s="14"/>
    </row>
    <row r="359" customFormat="false" ht="27.75" hidden="false" customHeight="true" outlineLevel="0" collapsed="false">
      <c r="A359" s="8" t="n">
        <v>308</v>
      </c>
      <c r="B359" s="9" t="s">
        <v>397</v>
      </c>
      <c r="C359" s="9" t="s">
        <v>411</v>
      </c>
      <c r="D359" s="10" t="s">
        <v>416</v>
      </c>
      <c r="E359" s="17" t="s">
        <v>19</v>
      </c>
      <c r="F359" s="12"/>
      <c r="G359" s="9"/>
    </row>
    <row r="360" customFormat="false" ht="27.75" hidden="false" customHeight="true" outlineLevel="0" collapsed="false">
      <c r="A360" s="13" t="n">
        <v>309</v>
      </c>
      <c r="B360" s="14" t="s">
        <v>397</v>
      </c>
      <c r="C360" s="14" t="s">
        <v>411</v>
      </c>
      <c r="D360" s="15" t="s">
        <v>417</v>
      </c>
      <c r="E360" s="19" t="s">
        <v>39</v>
      </c>
      <c r="F360" s="16"/>
      <c r="G360" s="14"/>
    </row>
    <row r="361" customFormat="false" ht="27.75" hidden="false" customHeight="true" outlineLevel="0" collapsed="false">
      <c r="A361" s="8" t="n">
        <v>310</v>
      </c>
      <c r="B361" s="9" t="s">
        <v>397</v>
      </c>
      <c r="C361" s="9" t="s">
        <v>411</v>
      </c>
      <c r="D361" s="10" t="s">
        <v>418</v>
      </c>
      <c r="E361" s="18" t="s">
        <v>26</v>
      </c>
      <c r="F361" s="12"/>
      <c r="G361" s="9"/>
    </row>
    <row r="362" customFormat="false" ht="25.5" hidden="false" customHeight="true" outlineLevel="0" collapsed="false">
      <c r="A362" s="7" t="s">
        <v>419</v>
      </c>
      <c r="B362" s="7"/>
      <c r="C362" s="7"/>
      <c r="D362" s="7"/>
      <c r="E362" s="7"/>
      <c r="F362" s="7"/>
      <c r="G362" s="7"/>
    </row>
    <row r="363" customFormat="false" ht="27.75" hidden="false" customHeight="true" outlineLevel="0" collapsed="false">
      <c r="A363" s="8" t="n">
        <v>311</v>
      </c>
      <c r="B363" s="9" t="s">
        <v>397</v>
      </c>
      <c r="C363" s="9" t="s">
        <v>420</v>
      </c>
      <c r="D363" s="10" t="s">
        <v>421</v>
      </c>
      <c r="E363" s="18" t="s">
        <v>26</v>
      </c>
      <c r="F363" s="12"/>
      <c r="G363" s="9"/>
    </row>
    <row r="364" customFormat="false" ht="27.75" hidden="false" customHeight="true" outlineLevel="0" collapsed="false">
      <c r="A364" s="13" t="n">
        <v>312</v>
      </c>
      <c r="B364" s="14" t="s">
        <v>397</v>
      </c>
      <c r="C364" s="14" t="s">
        <v>420</v>
      </c>
      <c r="D364" s="15" t="s">
        <v>422</v>
      </c>
      <c r="E364" s="18" t="s">
        <v>26</v>
      </c>
      <c r="F364" s="16"/>
      <c r="G364" s="14"/>
    </row>
    <row r="365" customFormat="false" ht="27.75" hidden="false" customHeight="true" outlineLevel="0" collapsed="false">
      <c r="A365" s="8" t="n">
        <v>313</v>
      </c>
      <c r="B365" s="9" t="s">
        <v>397</v>
      </c>
      <c r="C365" s="9" t="s">
        <v>420</v>
      </c>
      <c r="D365" s="10" t="s">
        <v>423</v>
      </c>
      <c r="E365" s="18" t="s">
        <v>26</v>
      </c>
      <c r="F365" s="12"/>
      <c r="G365" s="9"/>
    </row>
    <row r="366" customFormat="false" ht="27.75" hidden="false" customHeight="true" outlineLevel="0" collapsed="false">
      <c r="A366" s="13" t="n">
        <v>314</v>
      </c>
      <c r="B366" s="14" t="s">
        <v>397</v>
      </c>
      <c r="C366" s="14" t="s">
        <v>420</v>
      </c>
      <c r="D366" s="15" t="s">
        <v>424</v>
      </c>
      <c r="E366" s="19" t="s">
        <v>39</v>
      </c>
      <c r="F366" s="16"/>
      <c r="G366" s="14"/>
    </row>
    <row r="367" customFormat="false" ht="25.5" hidden="false" customHeight="true" outlineLevel="0" collapsed="false">
      <c r="A367" s="7" t="s">
        <v>425</v>
      </c>
      <c r="B367" s="7"/>
      <c r="C367" s="7"/>
      <c r="D367" s="7"/>
      <c r="E367" s="7"/>
      <c r="F367" s="7"/>
      <c r="G367" s="7"/>
    </row>
    <row r="368" customFormat="false" ht="27.75" hidden="false" customHeight="true" outlineLevel="0" collapsed="false">
      <c r="A368" s="13" t="n">
        <v>315</v>
      </c>
      <c r="B368" s="14" t="s">
        <v>397</v>
      </c>
      <c r="C368" s="14" t="s">
        <v>426</v>
      </c>
      <c r="D368" s="15" t="s">
        <v>427</v>
      </c>
      <c r="E368" s="19" t="s">
        <v>39</v>
      </c>
      <c r="F368" s="16"/>
      <c r="G368" s="14"/>
    </row>
    <row r="369" customFormat="false" ht="27.75" hidden="false" customHeight="true" outlineLevel="0" collapsed="false">
      <c r="A369" s="8" t="n">
        <v>316</v>
      </c>
      <c r="B369" s="9" t="s">
        <v>397</v>
      </c>
      <c r="C369" s="9" t="s">
        <v>426</v>
      </c>
      <c r="D369" s="10" t="s">
        <v>428</v>
      </c>
      <c r="E369" s="19" t="s">
        <v>39</v>
      </c>
      <c r="F369" s="12"/>
      <c r="G369" s="9"/>
    </row>
    <row r="370" customFormat="false" ht="27.75" hidden="false" customHeight="true" outlineLevel="0" collapsed="false">
      <c r="A370" s="13" t="n">
        <v>317</v>
      </c>
      <c r="B370" s="14" t="s">
        <v>397</v>
      </c>
      <c r="C370" s="14" t="s">
        <v>426</v>
      </c>
      <c r="D370" s="15" t="s">
        <v>429</v>
      </c>
      <c r="E370" s="19" t="s">
        <v>39</v>
      </c>
      <c r="F370" s="16"/>
      <c r="G370" s="14"/>
    </row>
    <row r="371" customFormat="false" ht="27.75" hidden="false" customHeight="true" outlineLevel="0" collapsed="false">
      <c r="A371" s="8" t="n">
        <v>318</v>
      </c>
      <c r="B371" s="9" t="s">
        <v>397</v>
      </c>
      <c r="C371" s="9" t="s">
        <v>426</v>
      </c>
      <c r="D371" s="10" t="s">
        <v>430</v>
      </c>
      <c r="E371" s="18" t="s">
        <v>26</v>
      </c>
      <c r="F371" s="12"/>
      <c r="G371" s="9"/>
    </row>
    <row r="372" customFormat="false" ht="27.75" hidden="false" customHeight="true" outlineLevel="0" collapsed="false">
      <c r="A372" s="13" t="n">
        <v>319</v>
      </c>
      <c r="B372" s="14" t="s">
        <v>397</v>
      </c>
      <c r="C372" s="14" t="s">
        <v>426</v>
      </c>
      <c r="D372" s="15" t="s">
        <v>431</v>
      </c>
      <c r="E372" s="18" t="s">
        <v>26</v>
      </c>
      <c r="F372" s="16"/>
      <c r="G372" s="14"/>
    </row>
    <row r="373" customFormat="false" ht="25.5" hidden="false" customHeight="true" outlineLevel="0" collapsed="false">
      <c r="A373" s="7" t="s">
        <v>432</v>
      </c>
      <c r="B373" s="7"/>
      <c r="C373" s="7"/>
      <c r="D373" s="7"/>
      <c r="E373" s="7"/>
      <c r="F373" s="7"/>
      <c r="G373" s="7"/>
    </row>
    <row r="374" customFormat="false" ht="27.75" hidden="false" customHeight="true" outlineLevel="0" collapsed="false">
      <c r="A374" s="13" t="n">
        <v>320</v>
      </c>
      <c r="B374" s="14" t="s">
        <v>397</v>
      </c>
      <c r="C374" s="14" t="s">
        <v>433</v>
      </c>
      <c r="D374" s="15" t="s">
        <v>434</v>
      </c>
      <c r="E374" s="17" t="s">
        <v>19</v>
      </c>
      <c r="F374" s="16"/>
      <c r="G374" s="14"/>
    </row>
    <row r="375" customFormat="false" ht="27.75" hidden="false" customHeight="true" outlineLevel="0" collapsed="false">
      <c r="A375" s="8" t="n">
        <v>321</v>
      </c>
      <c r="B375" s="9" t="s">
        <v>397</v>
      </c>
      <c r="C375" s="9" t="s">
        <v>433</v>
      </c>
      <c r="D375" s="10" t="s">
        <v>435</v>
      </c>
      <c r="E375" s="18" t="s">
        <v>26</v>
      </c>
      <c r="F375" s="12"/>
      <c r="G375" s="9"/>
    </row>
    <row r="376" customFormat="false" ht="27.75" hidden="false" customHeight="true" outlineLevel="0" collapsed="false">
      <c r="A376" s="13" t="n">
        <v>322</v>
      </c>
      <c r="B376" s="14" t="s">
        <v>397</v>
      </c>
      <c r="C376" s="14" t="s">
        <v>433</v>
      </c>
      <c r="D376" s="15" t="s">
        <v>436</v>
      </c>
      <c r="E376" s="18" t="s">
        <v>26</v>
      </c>
      <c r="F376" s="16"/>
      <c r="G376" s="14"/>
    </row>
    <row r="377" customFormat="false" ht="27.75" hidden="false" customHeight="true" outlineLevel="0" collapsed="false">
      <c r="A377" s="8" t="n">
        <v>323</v>
      </c>
      <c r="B377" s="9" t="s">
        <v>397</v>
      </c>
      <c r="C377" s="9" t="s">
        <v>433</v>
      </c>
      <c r="D377" s="10" t="s">
        <v>437</v>
      </c>
      <c r="E377" s="18" t="s">
        <v>26</v>
      </c>
      <c r="F377" s="12"/>
      <c r="G377" s="9"/>
    </row>
    <row r="378" customFormat="false" ht="27.75" hidden="false" customHeight="true" outlineLevel="0" collapsed="false">
      <c r="A378" s="13" t="n">
        <v>324</v>
      </c>
      <c r="B378" s="14" t="s">
        <v>397</v>
      </c>
      <c r="C378" s="14" t="s">
        <v>433</v>
      </c>
      <c r="D378" s="15" t="s">
        <v>438</v>
      </c>
      <c r="E378" s="17" t="s">
        <v>19</v>
      </c>
      <c r="F378" s="16"/>
      <c r="G378" s="14"/>
    </row>
    <row r="379" customFormat="false" ht="27.75" hidden="false" customHeight="true" outlineLevel="0" collapsed="false">
      <c r="A379" s="8" t="n">
        <v>325</v>
      </c>
      <c r="B379" s="9" t="s">
        <v>397</v>
      </c>
      <c r="C379" s="9" t="s">
        <v>433</v>
      </c>
      <c r="D379" s="10" t="s">
        <v>439</v>
      </c>
      <c r="E379" s="18" t="s">
        <v>26</v>
      </c>
      <c r="F379" s="12"/>
      <c r="G379" s="9"/>
    </row>
    <row r="380" customFormat="false" ht="27.75" hidden="false" customHeight="true" outlineLevel="0" collapsed="false">
      <c r="A380" s="13" t="n">
        <v>326</v>
      </c>
      <c r="B380" s="14" t="s">
        <v>397</v>
      </c>
      <c r="C380" s="14" t="s">
        <v>433</v>
      </c>
      <c r="D380" s="15" t="s">
        <v>440</v>
      </c>
      <c r="E380" s="18" t="s">
        <v>26</v>
      </c>
      <c r="F380" s="16"/>
      <c r="G380" s="14"/>
    </row>
    <row r="381" customFormat="false" ht="27.75" hidden="false" customHeight="true" outlineLevel="0" collapsed="false">
      <c r="A381" s="8" t="n">
        <v>327</v>
      </c>
      <c r="B381" s="9" t="s">
        <v>397</v>
      </c>
      <c r="C381" s="9" t="s">
        <v>433</v>
      </c>
      <c r="D381" s="10" t="s">
        <v>441</v>
      </c>
      <c r="E381" s="18" t="s">
        <v>26</v>
      </c>
      <c r="F381" s="12"/>
      <c r="G381" s="9"/>
    </row>
    <row r="382" customFormat="false" ht="27.75" hidden="false" customHeight="true" outlineLevel="0" collapsed="false">
      <c r="A382" s="13" t="n">
        <v>328</v>
      </c>
      <c r="B382" s="14" t="s">
        <v>397</v>
      </c>
      <c r="C382" s="14" t="s">
        <v>433</v>
      </c>
      <c r="D382" s="15" t="s">
        <v>442</v>
      </c>
      <c r="E382" s="17" t="s">
        <v>19</v>
      </c>
      <c r="F382" s="16"/>
      <c r="G382" s="14"/>
    </row>
    <row r="383" customFormat="false" ht="27.75" hidden="false" customHeight="true" outlineLevel="0" collapsed="false">
      <c r="A383" s="8" t="n">
        <v>329</v>
      </c>
      <c r="B383" s="9" t="s">
        <v>397</v>
      </c>
      <c r="C383" s="9" t="s">
        <v>433</v>
      </c>
      <c r="D383" s="10" t="s">
        <v>443</v>
      </c>
      <c r="E383" s="17" t="s">
        <v>19</v>
      </c>
      <c r="F383" s="12"/>
      <c r="G383" s="9"/>
    </row>
    <row r="384" customFormat="false" ht="27.75" hidden="false" customHeight="true" outlineLevel="0" collapsed="false">
      <c r="A384" s="13" t="n">
        <v>330</v>
      </c>
      <c r="B384" s="14" t="s">
        <v>397</v>
      </c>
      <c r="C384" s="14" t="s">
        <v>433</v>
      </c>
      <c r="D384" s="15" t="s">
        <v>444</v>
      </c>
      <c r="E384" s="18" t="s">
        <v>26</v>
      </c>
      <c r="F384" s="16"/>
      <c r="G384" s="14"/>
    </row>
    <row r="385" customFormat="false" ht="27.75" hidden="false" customHeight="true" outlineLevel="0" collapsed="false">
      <c r="A385" s="8" t="n">
        <v>331</v>
      </c>
      <c r="B385" s="9" t="s">
        <v>397</v>
      </c>
      <c r="C385" s="9" t="s">
        <v>433</v>
      </c>
      <c r="D385" s="10" t="s">
        <v>445</v>
      </c>
      <c r="E385" s="18" t="s">
        <v>26</v>
      </c>
      <c r="F385" s="12"/>
      <c r="G385" s="9"/>
    </row>
    <row r="386" customFormat="false" ht="27.75" hidden="false" customHeight="true" outlineLevel="0" collapsed="false">
      <c r="A386" s="13" t="n">
        <v>332</v>
      </c>
      <c r="B386" s="14" t="s">
        <v>397</v>
      </c>
      <c r="C386" s="14" t="s">
        <v>433</v>
      </c>
      <c r="D386" s="15" t="s">
        <v>446</v>
      </c>
      <c r="E386" s="18" t="s">
        <v>26</v>
      </c>
      <c r="F386" s="16"/>
      <c r="G386" s="14"/>
    </row>
    <row r="387" customFormat="false" ht="27.75" hidden="false" customHeight="true" outlineLevel="0" collapsed="false">
      <c r="A387" s="8" t="n">
        <v>333</v>
      </c>
      <c r="B387" s="9" t="s">
        <v>397</v>
      </c>
      <c r="C387" s="9" t="s">
        <v>433</v>
      </c>
      <c r="D387" s="10" t="s">
        <v>447</v>
      </c>
      <c r="E387" s="19" t="s">
        <v>39</v>
      </c>
      <c r="F387" s="12"/>
      <c r="G387" s="9"/>
    </row>
    <row r="388" customFormat="false" ht="25.5" hidden="false" customHeight="true" outlineLevel="0" collapsed="false">
      <c r="A388" s="7" t="s">
        <v>448</v>
      </c>
      <c r="B388" s="7"/>
      <c r="C388" s="7"/>
      <c r="D388" s="7"/>
      <c r="E388" s="7"/>
      <c r="F388" s="7"/>
      <c r="G388" s="7"/>
    </row>
    <row r="389" customFormat="false" ht="27.75" hidden="false" customHeight="true" outlineLevel="0" collapsed="false">
      <c r="A389" s="8" t="n">
        <v>334</v>
      </c>
      <c r="B389" s="9" t="s">
        <v>397</v>
      </c>
      <c r="C389" s="9" t="s">
        <v>449</v>
      </c>
      <c r="D389" s="10" t="s">
        <v>450</v>
      </c>
      <c r="E389" s="18" t="s">
        <v>26</v>
      </c>
      <c r="F389" s="12"/>
      <c r="G389" s="9"/>
    </row>
    <row r="390" customFormat="false" ht="27.75" hidden="false" customHeight="true" outlineLevel="0" collapsed="false">
      <c r="A390" s="13" t="n">
        <v>335</v>
      </c>
      <c r="B390" s="14" t="s">
        <v>397</v>
      </c>
      <c r="C390" s="14" t="s">
        <v>449</v>
      </c>
      <c r="D390" s="15" t="s">
        <v>451</v>
      </c>
      <c r="E390" s="18" t="s">
        <v>26</v>
      </c>
      <c r="F390" s="16"/>
      <c r="G390" s="14"/>
    </row>
    <row r="391" customFormat="false" ht="30" hidden="false" customHeight="true" outlineLevel="0" collapsed="false">
      <c r="A391" s="6" t="s">
        <v>452</v>
      </c>
      <c r="B391" s="6"/>
      <c r="C391" s="6"/>
      <c r="D391" s="6"/>
      <c r="E391" s="6"/>
      <c r="F391" s="6"/>
      <c r="G391" s="6"/>
    </row>
    <row r="392" customFormat="false" ht="25.5" hidden="false" customHeight="true" outlineLevel="0" collapsed="false">
      <c r="A392" s="7" t="s">
        <v>453</v>
      </c>
      <c r="B392" s="7"/>
      <c r="C392" s="7"/>
      <c r="D392" s="7"/>
      <c r="E392" s="7"/>
      <c r="F392" s="7"/>
      <c r="G392" s="7"/>
    </row>
    <row r="393" customFormat="false" ht="27.75" hidden="false" customHeight="true" outlineLevel="0" collapsed="false">
      <c r="A393" s="8" t="n">
        <v>336</v>
      </c>
      <c r="B393" s="9" t="s">
        <v>454</v>
      </c>
      <c r="C393" s="9" t="s">
        <v>455</v>
      </c>
      <c r="D393" s="10" t="s">
        <v>456</v>
      </c>
      <c r="E393" s="18" t="s">
        <v>26</v>
      </c>
      <c r="F393" s="12"/>
      <c r="G393" s="9"/>
    </row>
    <row r="394" customFormat="false" ht="27.75" hidden="false" customHeight="true" outlineLevel="0" collapsed="false">
      <c r="A394" s="13" t="n">
        <v>337</v>
      </c>
      <c r="B394" s="14" t="s">
        <v>454</v>
      </c>
      <c r="C394" s="14" t="s">
        <v>455</v>
      </c>
      <c r="D394" s="15" t="s">
        <v>457</v>
      </c>
      <c r="E394" s="18" t="s">
        <v>26</v>
      </c>
      <c r="F394" s="16"/>
      <c r="G394" s="14"/>
    </row>
    <row r="395" customFormat="false" ht="27.75" hidden="false" customHeight="true" outlineLevel="0" collapsed="false">
      <c r="A395" s="8" t="n">
        <v>338</v>
      </c>
      <c r="B395" s="9" t="s">
        <v>454</v>
      </c>
      <c r="C395" s="9" t="s">
        <v>455</v>
      </c>
      <c r="D395" s="10" t="s">
        <v>458</v>
      </c>
      <c r="E395" s="17" t="s">
        <v>19</v>
      </c>
      <c r="F395" s="12"/>
      <c r="G395" s="9"/>
    </row>
    <row r="396" customFormat="false" ht="27.75" hidden="false" customHeight="true" outlineLevel="0" collapsed="false">
      <c r="A396" s="13" t="n">
        <v>339</v>
      </c>
      <c r="B396" s="14" t="s">
        <v>454</v>
      </c>
      <c r="C396" s="14" t="s">
        <v>455</v>
      </c>
      <c r="D396" s="15" t="s">
        <v>459</v>
      </c>
      <c r="E396" s="18" t="s">
        <v>26</v>
      </c>
      <c r="F396" s="16"/>
      <c r="G396" s="14"/>
    </row>
    <row r="397" customFormat="false" ht="27.75" hidden="false" customHeight="true" outlineLevel="0" collapsed="false">
      <c r="A397" s="8" t="n">
        <v>340</v>
      </c>
      <c r="B397" s="9" t="s">
        <v>454</v>
      </c>
      <c r="C397" s="9" t="s">
        <v>455</v>
      </c>
      <c r="D397" s="10" t="s">
        <v>460</v>
      </c>
      <c r="E397" s="17" t="s">
        <v>19</v>
      </c>
      <c r="F397" s="12"/>
      <c r="G397" s="9"/>
    </row>
    <row r="398" customFormat="false" ht="27.75" hidden="false" customHeight="true" outlineLevel="0" collapsed="false">
      <c r="A398" s="13" t="n">
        <v>341</v>
      </c>
      <c r="B398" s="14" t="s">
        <v>454</v>
      </c>
      <c r="C398" s="14" t="s">
        <v>455</v>
      </c>
      <c r="D398" s="15" t="s">
        <v>461</v>
      </c>
      <c r="E398" s="18" t="s">
        <v>26</v>
      </c>
      <c r="F398" s="16"/>
      <c r="G398" s="14"/>
    </row>
    <row r="399" customFormat="false" ht="27.75" hidden="false" customHeight="true" outlineLevel="0" collapsed="false">
      <c r="A399" s="8" t="n">
        <v>342</v>
      </c>
      <c r="B399" s="9" t="s">
        <v>454</v>
      </c>
      <c r="C399" s="9" t="s">
        <v>455</v>
      </c>
      <c r="D399" s="10" t="s">
        <v>462</v>
      </c>
      <c r="E399" s="18" t="s">
        <v>26</v>
      </c>
      <c r="F399" s="12"/>
      <c r="G399" s="9"/>
    </row>
    <row r="400" customFormat="false" ht="27.75" hidden="false" customHeight="true" outlineLevel="0" collapsed="false">
      <c r="A400" s="13" t="n">
        <v>343</v>
      </c>
      <c r="B400" s="14" t="s">
        <v>454</v>
      </c>
      <c r="C400" s="14" t="s">
        <v>455</v>
      </c>
      <c r="D400" s="15" t="s">
        <v>463</v>
      </c>
      <c r="E400" s="19" t="s">
        <v>39</v>
      </c>
      <c r="F400" s="16"/>
      <c r="G400" s="14"/>
    </row>
    <row r="401" customFormat="false" ht="27.75" hidden="false" customHeight="true" outlineLevel="0" collapsed="false">
      <c r="A401" s="8" t="n">
        <v>344</v>
      </c>
      <c r="B401" s="9" t="s">
        <v>454</v>
      </c>
      <c r="C401" s="9" t="s">
        <v>455</v>
      </c>
      <c r="D401" s="10" t="s">
        <v>464</v>
      </c>
      <c r="E401" s="18" t="s">
        <v>26</v>
      </c>
      <c r="F401" s="12"/>
      <c r="G401" s="9"/>
    </row>
    <row r="402" customFormat="false" ht="27.75" hidden="false" customHeight="true" outlineLevel="0" collapsed="false">
      <c r="A402" s="13" t="n">
        <v>345</v>
      </c>
      <c r="B402" s="14" t="s">
        <v>454</v>
      </c>
      <c r="C402" s="14" t="s">
        <v>455</v>
      </c>
      <c r="D402" s="15" t="s">
        <v>465</v>
      </c>
      <c r="E402" s="18" t="s">
        <v>26</v>
      </c>
      <c r="F402" s="16"/>
      <c r="G402" s="14"/>
    </row>
    <row r="403" customFormat="false" ht="25.5" hidden="false" customHeight="true" outlineLevel="0" collapsed="false">
      <c r="A403" s="7" t="s">
        <v>466</v>
      </c>
      <c r="B403" s="7"/>
      <c r="C403" s="7"/>
      <c r="D403" s="7"/>
      <c r="E403" s="7"/>
      <c r="F403" s="7"/>
      <c r="G403" s="7"/>
    </row>
    <row r="404" customFormat="false" ht="27.75" hidden="false" customHeight="true" outlineLevel="0" collapsed="false">
      <c r="A404" s="13" t="n">
        <v>346</v>
      </c>
      <c r="B404" s="14" t="s">
        <v>454</v>
      </c>
      <c r="C404" s="14" t="s">
        <v>467</v>
      </c>
      <c r="D404" s="15" t="s">
        <v>468</v>
      </c>
      <c r="E404" s="11" t="s">
        <v>15</v>
      </c>
      <c r="F404" s="16"/>
      <c r="G404" s="14"/>
    </row>
    <row r="405" customFormat="false" ht="27.75" hidden="false" customHeight="true" outlineLevel="0" collapsed="false">
      <c r="A405" s="8" t="n">
        <v>347</v>
      </c>
      <c r="B405" s="9" t="s">
        <v>454</v>
      </c>
      <c r="C405" s="9" t="s">
        <v>467</v>
      </c>
      <c r="D405" s="10" t="s">
        <v>469</v>
      </c>
      <c r="E405" s="11" t="s">
        <v>15</v>
      </c>
      <c r="F405" s="12"/>
      <c r="G405" s="9"/>
    </row>
    <row r="406" customFormat="false" ht="27.75" hidden="false" customHeight="true" outlineLevel="0" collapsed="false">
      <c r="A406" s="13" t="n">
        <v>348</v>
      </c>
      <c r="B406" s="14" t="s">
        <v>454</v>
      </c>
      <c r="C406" s="14" t="s">
        <v>467</v>
      </c>
      <c r="D406" s="15" t="s">
        <v>470</v>
      </c>
      <c r="E406" s="17" t="s">
        <v>19</v>
      </c>
      <c r="F406" s="16"/>
      <c r="G406" s="14"/>
    </row>
    <row r="407" customFormat="false" ht="27.75" hidden="false" customHeight="true" outlineLevel="0" collapsed="false">
      <c r="A407" s="8" t="n">
        <v>349</v>
      </c>
      <c r="B407" s="9" t="s">
        <v>454</v>
      </c>
      <c r="C407" s="9" t="s">
        <v>467</v>
      </c>
      <c r="D407" s="10" t="s">
        <v>471</v>
      </c>
      <c r="E407" s="11" t="s">
        <v>15</v>
      </c>
      <c r="F407" s="12"/>
      <c r="G407" s="9"/>
    </row>
    <row r="408" customFormat="false" ht="27.75" hidden="false" customHeight="true" outlineLevel="0" collapsed="false">
      <c r="A408" s="13" t="n">
        <v>350</v>
      </c>
      <c r="B408" s="14" t="s">
        <v>454</v>
      </c>
      <c r="C408" s="14" t="s">
        <v>467</v>
      </c>
      <c r="D408" s="15" t="s">
        <v>472</v>
      </c>
      <c r="E408" s="18" t="s">
        <v>26</v>
      </c>
      <c r="F408" s="16"/>
      <c r="G408" s="14"/>
    </row>
    <row r="409" customFormat="false" ht="27.75" hidden="false" customHeight="true" outlineLevel="0" collapsed="false">
      <c r="A409" s="8" t="n">
        <v>351</v>
      </c>
      <c r="B409" s="9" t="s">
        <v>454</v>
      </c>
      <c r="C409" s="9" t="s">
        <v>467</v>
      </c>
      <c r="D409" s="10" t="s">
        <v>473</v>
      </c>
      <c r="E409" s="17" t="s">
        <v>19</v>
      </c>
      <c r="F409" s="12"/>
      <c r="G409" s="9"/>
    </row>
    <row r="410" customFormat="false" ht="27.75" hidden="false" customHeight="true" outlineLevel="0" collapsed="false">
      <c r="A410" s="13" t="n">
        <v>352</v>
      </c>
      <c r="B410" s="14" t="s">
        <v>454</v>
      </c>
      <c r="C410" s="14" t="s">
        <v>467</v>
      </c>
      <c r="D410" s="15" t="s">
        <v>474</v>
      </c>
      <c r="E410" s="17" t="s">
        <v>19</v>
      </c>
      <c r="F410" s="16"/>
      <c r="G410" s="14"/>
    </row>
    <row r="411" customFormat="false" ht="25.5" hidden="false" customHeight="true" outlineLevel="0" collapsed="false">
      <c r="A411" s="7" t="s">
        <v>475</v>
      </c>
      <c r="B411" s="7"/>
      <c r="C411" s="7"/>
      <c r="D411" s="7"/>
      <c r="E411" s="7"/>
      <c r="F411" s="7"/>
      <c r="G411" s="7"/>
    </row>
    <row r="412" customFormat="false" ht="27.75" hidden="false" customHeight="true" outlineLevel="0" collapsed="false">
      <c r="A412" s="13" t="n">
        <v>353</v>
      </c>
      <c r="B412" s="14" t="s">
        <v>454</v>
      </c>
      <c r="C412" s="14" t="s">
        <v>476</v>
      </c>
      <c r="D412" s="15" t="s">
        <v>477</v>
      </c>
      <c r="E412" s="18" t="s">
        <v>26</v>
      </c>
      <c r="F412" s="16"/>
      <c r="G412" s="14"/>
    </row>
    <row r="413" customFormat="false" ht="27.75" hidden="false" customHeight="true" outlineLevel="0" collapsed="false">
      <c r="A413" s="8" t="n">
        <v>354</v>
      </c>
      <c r="B413" s="9" t="s">
        <v>454</v>
      </c>
      <c r="C413" s="9" t="s">
        <v>476</v>
      </c>
      <c r="D413" s="10" t="s">
        <v>478</v>
      </c>
      <c r="E413" s="17" t="s">
        <v>19</v>
      </c>
      <c r="F413" s="12"/>
      <c r="G413" s="9"/>
    </row>
    <row r="414" customFormat="false" ht="27.75" hidden="false" customHeight="true" outlineLevel="0" collapsed="false">
      <c r="A414" s="13" t="n">
        <v>355</v>
      </c>
      <c r="B414" s="14" t="s">
        <v>454</v>
      </c>
      <c r="C414" s="14" t="s">
        <v>476</v>
      </c>
      <c r="D414" s="15" t="s">
        <v>479</v>
      </c>
      <c r="E414" s="17" t="s">
        <v>19</v>
      </c>
      <c r="F414" s="16"/>
      <c r="G414" s="14"/>
    </row>
    <row r="415" customFormat="false" ht="27.75" hidden="false" customHeight="true" outlineLevel="0" collapsed="false">
      <c r="A415" s="8" t="n">
        <v>356</v>
      </c>
      <c r="B415" s="9" t="s">
        <v>454</v>
      </c>
      <c r="C415" s="9" t="s">
        <v>476</v>
      </c>
      <c r="D415" s="10" t="s">
        <v>480</v>
      </c>
      <c r="E415" s="18" t="s">
        <v>26</v>
      </c>
      <c r="F415" s="12"/>
      <c r="G415" s="9"/>
    </row>
    <row r="416" customFormat="false" ht="27.75" hidden="false" customHeight="true" outlineLevel="0" collapsed="false">
      <c r="A416" s="13" t="n">
        <v>357</v>
      </c>
      <c r="B416" s="14" t="s">
        <v>454</v>
      </c>
      <c r="C416" s="14" t="s">
        <v>476</v>
      </c>
      <c r="D416" s="15" t="s">
        <v>481</v>
      </c>
      <c r="E416" s="19" t="s">
        <v>39</v>
      </c>
      <c r="F416" s="16"/>
      <c r="G416" s="14"/>
    </row>
    <row r="417" customFormat="false" ht="27.75" hidden="false" customHeight="true" outlineLevel="0" collapsed="false">
      <c r="A417" s="8" t="n">
        <v>358</v>
      </c>
      <c r="B417" s="9" t="s">
        <v>454</v>
      </c>
      <c r="C417" s="9" t="s">
        <v>476</v>
      </c>
      <c r="D417" s="10" t="s">
        <v>482</v>
      </c>
      <c r="E417" s="11" t="s">
        <v>15</v>
      </c>
      <c r="F417" s="12"/>
      <c r="G417" s="9"/>
    </row>
    <row r="418" customFormat="false" ht="27.75" hidden="false" customHeight="true" outlineLevel="0" collapsed="false">
      <c r="A418" s="13" t="n">
        <v>359</v>
      </c>
      <c r="B418" s="14" t="s">
        <v>454</v>
      </c>
      <c r="C418" s="14" t="s">
        <v>476</v>
      </c>
      <c r="D418" s="15" t="s">
        <v>483</v>
      </c>
      <c r="E418" s="17" t="s">
        <v>19</v>
      </c>
      <c r="F418" s="16"/>
      <c r="G418" s="14"/>
    </row>
    <row r="419" customFormat="false" ht="27.75" hidden="false" customHeight="true" outlineLevel="0" collapsed="false">
      <c r="A419" s="8" t="n">
        <v>360</v>
      </c>
      <c r="B419" s="9" t="s">
        <v>454</v>
      </c>
      <c r="C419" s="9" t="s">
        <v>476</v>
      </c>
      <c r="D419" s="10" t="s">
        <v>484</v>
      </c>
      <c r="E419" s="18" t="s">
        <v>26</v>
      </c>
      <c r="F419" s="12"/>
      <c r="G419" s="9"/>
    </row>
    <row r="420" customFormat="false" ht="27.75" hidden="false" customHeight="true" outlineLevel="0" collapsed="false">
      <c r="A420" s="13" t="n">
        <v>361</v>
      </c>
      <c r="B420" s="14" t="s">
        <v>454</v>
      </c>
      <c r="C420" s="14" t="s">
        <v>476</v>
      </c>
      <c r="D420" s="15" t="s">
        <v>485</v>
      </c>
      <c r="E420" s="17" t="s">
        <v>19</v>
      </c>
      <c r="F420" s="16"/>
      <c r="G420" s="14"/>
    </row>
    <row r="421" customFormat="false" ht="27.75" hidden="false" customHeight="true" outlineLevel="0" collapsed="false">
      <c r="A421" s="8" t="n">
        <v>362</v>
      </c>
      <c r="B421" s="9" t="s">
        <v>454</v>
      </c>
      <c r="C421" s="9" t="s">
        <v>476</v>
      </c>
      <c r="D421" s="10" t="s">
        <v>486</v>
      </c>
      <c r="E421" s="17" t="s">
        <v>19</v>
      </c>
      <c r="F421" s="12"/>
      <c r="G421" s="9"/>
    </row>
    <row r="422" customFormat="false" ht="27.75" hidden="false" customHeight="true" outlineLevel="0" collapsed="false">
      <c r="A422" s="13" t="n">
        <v>363</v>
      </c>
      <c r="B422" s="14" t="s">
        <v>454</v>
      </c>
      <c r="C422" s="14" t="s">
        <v>476</v>
      </c>
      <c r="D422" s="15" t="s">
        <v>487</v>
      </c>
      <c r="E422" s="11" t="s">
        <v>15</v>
      </c>
      <c r="F422" s="16"/>
      <c r="G422" s="14"/>
    </row>
    <row r="423" customFormat="false" ht="27.75" hidden="false" customHeight="true" outlineLevel="0" collapsed="false">
      <c r="A423" s="8" t="n">
        <v>364</v>
      </c>
      <c r="B423" s="9" t="s">
        <v>454</v>
      </c>
      <c r="C423" s="9" t="s">
        <v>476</v>
      </c>
      <c r="D423" s="10" t="s">
        <v>488</v>
      </c>
      <c r="E423" s="18" t="s">
        <v>26</v>
      </c>
      <c r="F423" s="12"/>
      <c r="G423" s="9"/>
    </row>
    <row r="424" customFormat="false" ht="27.75" hidden="false" customHeight="true" outlineLevel="0" collapsed="false">
      <c r="A424" s="13" t="n">
        <v>365</v>
      </c>
      <c r="B424" s="14" t="s">
        <v>454</v>
      </c>
      <c r="C424" s="14" t="s">
        <v>476</v>
      </c>
      <c r="D424" s="15" t="s">
        <v>489</v>
      </c>
      <c r="E424" s="17" t="s">
        <v>19</v>
      </c>
      <c r="F424" s="16"/>
      <c r="G424" s="14"/>
    </row>
    <row r="425" customFormat="false" ht="27.75" hidden="false" customHeight="true" outlineLevel="0" collapsed="false">
      <c r="A425" s="8" t="n">
        <v>366</v>
      </c>
      <c r="B425" s="9" t="s">
        <v>454</v>
      </c>
      <c r="C425" s="9" t="s">
        <v>476</v>
      </c>
      <c r="D425" s="10" t="s">
        <v>490</v>
      </c>
      <c r="E425" s="18" t="s">
        <v>26</v>
      </c>
      <c r="F425" s="12"/>
      <c r="G425" s="9"/>
    </row>
    <row r="426" customFormat="false" ht="27.75" hidden="false" customHeight="true" outlineLevel="0" collapsed="false">
      <c r="A426" s="13" t="n">
        <v>367</v>
      </c>
      <c r="B426" s="14" t="s">
        <v>454</v>
      </c>
      <c r="C426" s="14" t="s">
        <v>476</v>
      </c>
      <c r="D426" s="15" t="s">
        <v>491</v>
      </c>
      <c r="E426" s="17" t="s">
        <v>19</v>
      </c>
      <c r="F426" s="16"/>
      <c r="G426" s="14"/>
    </row>
    <row r="427" customFormat="false" ht="25.5" hidden="false" customHeight="true" outlineLevel="0" collapsed="false">
      <c r="A427" s="7" t="s">
        <v>492</v>
      </c>
      <c r="B427" s="7"/>
      <c r="C427" s="7"/>
      <c r="D427" s="7"/>
      <c r="E427" s="7"/>
      <c r="F427" s="7"/>
      <c r="G427" s="7"/>
    </row>
    <row r="428" customFormat="false" ht="27.75" hidden="false" customHeight="true" outlineLevel="0" collapsed="false">
      <c r="A428" s="13" t="n">
        <v>368</v>
      </c>
      <c r="B428" s="14" t="s">
        <v>454</v>
      </c>
      <c r="C428" s="14" t="s">
        <v>493</v>
      </c>
      <c r="D428" s="15" t="s">
        <v>494</v>
      </c>
      <c r="E428" s="17" t="s">
        <v>19</v>
      </c>
      <c r="F428" s="16"/>
      <c r="G428" s="14"/>
    </row>
    <row r="429" customFormat="false" ht="27.75" hidden="false" customHeight="true" outlineLevel="0" collapsed="false">
      <c r="A429" s="8" t="n">
        <v>369</v>
      </c>
      <c r="B429" s="9" t="s">
        <v>454</v>
      </c>
      <c r="C429" s="9" t="s">
        <v>493</v>
      </c>
      <c r="D429" s="10" t="s">
        <v>495</v>
      </c>
      <c r="E429" s="17" t="s">
        <v>19</v>
      </c>
      <c r="F429" s="12"/>
      <c r="G429" s="9"/>
    </row>
    <row r="430" customFormat="false" ht="27.75" hidden="false" customHeight="true" outlineLevel="0" collapsed="false">
      <c r="A430" s="13" t="n">
        <v>370</v>
      </c>
      <c r="B430" s="14" t="s">
        <v>454</v>
      </c>
      <c r="C430" s="14" t="s">
        <v>493</v>
      </c>
      <c r="D430" s="15" t="s">
        <v>496</v>
      </c>
      <c r="E430" s="18" t="s">
        <v>26</v>
      </c>
      <c r="F430" s="16"/>
      <c r="G430" s="14"/>
    </row>
    <row r="431" customFormat="false" ht="27.75" hidden="false" customHeight="true" outlineLevel="0" collapsed="false">
      <c r="A431" s="8" t="n">
        <v>371</v>
      </c>
      <c r="B431" s="9" t="s">
        <v>454</v>
      </c>
      <c r="C431" s="9" t="s">
        <v>493</v>
      </c>
      <c r="D431" s="10" t="s">
        <v>497</v>
      </c>
      <c r="E431" s="11" t="s">
        <v>15</v>
      </c>
      <c r="F431" s="12"/>
      <c r="G431" s="9"/>
    </row>
    <row r="432" customFormat="false" ht="27.75" hidden="false" customHeight="true" outlineLevel="0" collapsed="false">
      <c r="A432" s="13" t="n">
        <v>372</v>
      </c>
      <c r="B432" s="14" t="s">
        <v>454</v>
      </c>
      <c r="C432" s="14" t="s">
        <v>493</v>
      </c>
      <c r="D432" s="15" t="s">
        <v>498</v>
      </c>
      <c r="E432" s="11" t="s">
        <v>15</v>
      </c>
      <c r="F432" s="16"/>
      <c r="G432" s="14"/>
    </row>
    <row r="433" customFormat="false" ht="27.75" hidden="false" customHeight="true" outlineLevel="0" collapsed="false">
      <c r="A433" s="8" t="n">
        <v>373</v>
      </c>
      <c r="B433" s="9" t="s">
        <v>454</v>
      </c>
      <c r="C433" s="9" t="s">
        <v>493</v>
      </c>
      <c r="D433" s="10" t="s">
        <v>499</v>
      </c>
      <c r="E433" s="11" t="s">
        <v>15</v>
      </c>
      <c r="F433" s="12"/>
      <c r="G433" s="9"/>
    </row>
    <row r="434" customFormat="false" ht="27.75" hidden="false" customHeight="true" outlineLevel="0" collapsed="false">
      <c r="A434" s="13" t="n">
        <v>374</v>
      </c>
      <c r="B434" s="14" t="s">
        <v>454</v>
      </c>
      <c r="C434" s="14" t="s">
        <v>493</v>
      </c>
      <c r="D434" s="15" t="s">
        <v>500</v>
      </c>
      <c r="E434" s="17" t="s">
        <v>19</v>
      </c>
      <c r="F434" s="16"/>
      <c r="G434" s="14"/>
    </row>
    <row r="435" customFormat="false" ht="27.75" hidden="false" customHeight="true" outlineLevel="0" collapsed="false">
      <c r="A435" s="8" t="n">
        <v>375</v>
      </c>
      <c r="B435" s="9" t="s">
        <v>454</v>
      </c>
      <c r="C435" s="9" t="s">
        <v>493</v>
      </c>
      <c r="D435" s="10" t="s">
        <v>501</v>
      </c>
      <c r="E435" s="17" t="s">
        <v>19</v>
      </c>
      <c r="F435" s="12"/>
      <c r="G435" s="9"/>
    </row>
    <row r="436" customFormat="false" ht="27.75" hidden="false" customHeight="true" outlineLevel="0" collapsed="false">
      <c r="A436" s="13" t="n">
        <v>376</v>
      </c>
      <c r="B436" s="14" t="s">
        <v>454</v>
      </c>
      <c r="C436" s="14" t="s">
        <v>493</v>
      </c>
      <c r="D436" s="15" t="s">
        <v>502</v>
      </c>
      <c r="E436" s="18" t="s">
        <v>26</v>
      </c>
      <c r="F436" s="16"/>
      <c r="G436" s="14"/>
    </row>
    <row r="437" customFormat="false" ht="27.75" hidden="false" customHeight="true" outlineLevel="0" collapsed="false">
      <c r="A437" s="8" t="n">
        <v>377</v>
      </c>
      <c r="B437" s="9" t="s">
        <v>454</v>
      </c>
      <c r="C437" s="9" t="s">
        <v>493</v>
      </c>
      <c r="D437" s="10" t="s">
        <v>503</v>
      </c>
      <c r="E437" s="18" t="s">
        <v>26</v>
      </c>
      <c r="F437" s="12"/>
      <c r="G437" s="9"/>
    </row>
    <row r="438" customFormat="false" ht="27.75" hidden="false" customHeight="true" outlineLevel="0" collapsed="false">
      <c r="A438" s="13" t="n">
        <v>378</v>
      </c>
      <c r="B438" s="14" t="s">
        <v>454</v>
      </c>
      <c r="C438" s="14" t="s">
        <v>493</v>
      </c>
      <c r="D438" s="15" t="s">
        <v>504</v>
      </c>
      <c r="E438" s="17" t="s">
        <v>19</v>
      </c>
      <c r="F438" s="16"/>
      <c r="G438" s="14"/>
    </row>
    <row r="439" customFormat="false" ht="27.75" hidden="false" customHeight="true" outlineLevel="0" collapsed="false">
      <c r="A439" s="8" t="n">
        <v>379</v>
      </c>
      <c r="B439" s="9" t="s">
        <v>454</v>
      </c>
      <c r="C439" s="9" t="s">
        <v>493</v>
      </c>
      <c r="D439" s="10" t="s">
        <v>505</v>
      </c>
      <c r="E439" s="19" t="s">
        <v>39</v>
      </c>
      <c r="F439" s="12"/>
      <c r="G439" s="9"/>
    </row>
    <row r="440" customFormat="false" ht="30" hidden="false" customHeight="true" outlineLevel="0" collapsed="false">
      <c r="A440" s="6" t="s">
        <v>506</v>
      </c>
      <c r="B440" s="6"/>
      <c r="C440" s="6"/>
      <c r="D440" s="6"/>
      <c r="E440" s="6"/>
      <c r="F440" s="6"/>
      <c r="G440" s="6"/>
    </row>
    <row r="441" customFormat="false" ht="25.5" hidden="false" customHeight="true" outlineLevel="0" collapsed="false">
      <c r="A441" s="7" t="s">
        <v>507</v>
      </c>
      <c r="B441" s="7"/>
      <c r="C441" s="7"/>
      <c r="D441" s="7"/>
      <c r="E441" s="7"/>
      <c r="F441" s="7"/>
      <c r="G441" s="7"/>
    </row>
    <row r="442" customFormat="false" ht="27.75" hidden="false" customHeight="true" outlineLevel="0" collapsed="false">
      <c r="A442" s="13" t="n">
        <v>380</v>
      </c>
      <c r="B442" s="14" t="s">
        <v>508</v>
      </c>
      <c r="C442" s="14" t="s">
        <v>509</v>
      </c>
      <c r="D442" s="15" t="s">
        <v>510</v>
      </c>
      <c r="E442" s="17" t="s">
        <v>19</v>
      </c>
      <c r="F442" s="16"/>
      <c r="G442" s="14"/>
    </row>
    <row r="443" customFormat="false" ht="27.75" hidden="false" customHeight="true" outlineLevel="0" collapsed="false">
      <c r="A443" s="8" t="n">
        <v>381</v>
      </c>
      <c r="B443" s="9" t="s">
        <v>508</v>
      </c>
      <c r="C443" s="9" t="s">
        <v>509</v>
      </c>
      <c r="D443" s="10" t="s">
        <v>511</v>
      </c>
      <c r="E443" s="18" t="s">
        <v>26</v>
      </c>
      <c r="F443" s="12"/>
      <c r="G443" s="9"/>
    </row>
    <row r="444" customFormat="false" ht="27.75" hidden="false" customHeight="true" outlineLevel="0" collapsed="false">
      <c r="A444" s="13" t="n">
        <v>382</v>
      </c>
      <c r="B444" s="14" t="s">
        <v>508</v>
      </c>
      <c r="C444" s="14" t="s">
        <v>509</v>
      </c>
      <c r="D444" s="15" t="s">
        <v>512</v>
      </c>
      <c r="E444" s="17" t="s">
        <v>19</v>
      </c>
      <c r="F444" s="16"/>
      <c r="G444" s="14"/>
    </row>
    <row r="445" customFormat="false" ht="27.75" hidden="false" customHeight="true" outlineLevel="0" collapsed="false">
      <c r="A445" s="8" t="n">
        <v>383</v>
      </c>
      <c r="B445" s="9" t="s">
        <v>508</v>
      </c>
      <c r="C445" s="9" t="s">
        <v>509</v>
      </c>
      <c r="D445" s="10" t="s">
        <v>513</v>
      </c>
      <c r="E445" s="11" t="s">
        <v>15</v>
      </c>
      <c r="F445" s="12"/>
      <c r="G445" s="9"/>
    </row>
    <row r="446" customFormat="false" ht="27.75" hidden="false" customHeight="true" outlineLevel="0" collapsed="false">
      <c r="A446" s="13" t="n">
        <v>384</v>
      </c>
      <c r="B446" s="14" t="s">
        <v>508</v>
      </c>
      <c r="C446" s="14" t="s">
        <v>509</v>
      </c>
      <c r="D446" s="15" t="s">
        <v>514</v>
      </c>
      <c r="E446" s="11" t="s">
        <v>15</v>
      </c>
      <c r="F446" s="16"/>
      <c r="G446" s="14"/>
    </row>
    <row r="447" customFormat="false" ht="27.75" hidden="false" customHeight="true" outlineLevel="0" collapsed="false">
      <c r="A447" s="8" t="n">
        <v>385</v>
      </c>
      <c r="B447" s="9" t="s">
        <v>508</v>
      </c>
      <c r="C447" s="9" t="s">
        <v>509</v>
      </c>
      <c r="D447" s="10" t="s">
        <v>515</v>
      </c>
      <c r="E447" s="11" t="s">
        <v>15</v>
      </c>
      <c r="F447" s="12"/>
      <c r="G447" s="9"/>
    </row>
    <row r="448" customFormat="false" ht="27.75" hidden="false" customHeight="true" outlineLevel="0" collapsed="false">
      <c r="A448" s="13" t="n">
        <v>386</v>
      </c>
      <c r="B448" s="14" t="s">
        <v>508</v>
      </c>
      <c r="C448" s="14" t="s">
        <v>509</v>
      </c>
      <c r="D448" s="15" t="s">
        <v>516</v>
      </c>
      <c r="E448" s="18" t="s">
        <v>26</v>
      </c>
      <c r="F448" s="16"/>
      <c r="G448" s="14"/>
    </row>
    <row r="449" customFormat="false" ht="27.75" hidden="false" customHeight="true" outlineLevel="0" collapsed="false">
      <c r="A449" s="8" t="n">
        <v>387</v>
      </c>
      <c r="B449" s="9" t="s">
        <v>508</v>
      </c>
      <c r="C449" s="9" t="s">
        <v>509</v>
      </c>
      <c r="D449" s="10" t="s">
        <v>517</v>
      </c>
      <c r="E449" s="18" t="s">
        <v>26</v>
      </c>
      <c r="F449" s="12"/>
      <c r="G449" s="9"/>
    </row>
    <row r="450" customFormat="false" ht="27.75" hidden="false" customHeight="true" outlineLevel="0" collapsed="false">
      <c r="A450" s="13" t="n">
        <v>388</v>
      </c>
      <c r="B450" s="14" t="s">
        <v>508</v>
      </c>
      <c r="C450" s="14" t="s">
        <v>509</v>
      </c>
      <c r="D450" s="15" t="s">
        <v>518</v>
      </c>
      <c r="E450" s="18" t="s">
        <v>26</v>
      </c>
      <c r="F450" s="16"/>
      <c r="G450" s="14"/>
    </row>
    <row r="451" customFormat="false" ht="27.75" hidden="false" customHeight="true" outlineLevel="0" collapsed="false">
      <c r="A451" s="8" t="n">
        <v>389</v>
      </c>
      <c r="B451" s="9" t="s">
        <v>508</v>
      </c>
      <c r="C451" s="9" t="s">
        <v>509</v>
      </c>
      <c r="D451" s="10" t="s">
        <v>519</v>
      </c>
      <c r="E451" s="18" t="s">
        <v>26</v>
      </c>
      <c r="F451" s="12"/>
      <c r="G451" s="9"/>
    </row>
    <row r="452" customFormat="false" ht="27.75" hidden="false" customHeight="true" outlineLevel="0" collapsed="false">
      <c r="A452" s="13" t="n">
        <v>390</v>
      </c>
      <c r="B452" s="14" t="s">
        <v>508</v>
      </c>
      <c r="C452" s="14" t="s">
        <v>509</v>
      </c>
      <c r="D452" s="15" t="s">
        <v>520</v>
      </c>
      <c r="E452" s="17" t="s">
        <v>19</v>
      </c>
      <c r="F452" s="16"/>
      <c r="G452" s="14"/>
    </row>
    <row r="453" customFormat="false" ht="27.75" hidden="false" customHeight="true" outlineLevel="0" collapsed="false">
      <c r="A453" s="8" t="n">
        <v>391</v>
      </c>
      <c r="B453" s="9" t="s">
        <v>508</v>
      </c>
      <c r="C453" s="9" t="s">
        <v>509</v>
      </c>
      <c r="D453" s="10" t="s">
        <v>521</v>
      </c>
      <c r="E453" s="18" t="s">
        <v>26</v>
      </c>
      <c r="F453" s="12"/>
      <c r="G453" s="9"/>
    </row>
    <row r="454" customFormat="false" ht="27.75" hidden="false" customHeight="true" outlineLevel="0" collapsed="false">
      <c r="A454" s="13" t="n">
        <v>392</v>
      </c>
      <c r="B454" s="14" t="s">
        <v>508</v>
      </c>
      <c r="C454" s="14" t="s">
        <v>509</v>
      </c>
      <c r="D454" s="15" t="s">
        <v>522</v>
      </c>
      <c r="E454" s="17" t="s">
        <v>19</v>
      </c>
      <c r="F454" s="16"/>
      <c r="G454" s="14"/>
    </row>
    <row r="455" customFormat="false" ht="27.75" hidden="false" customHeight="true" outlineLevel="0" collapsed="false">
      <c r="A455" s="8" t="n">
        <v>393</v>
      </c>
      <c r="B455" s="9" t="s">
        <v>508</v>
      </c>
      <c r="C455" s="9" t="s">
        <v>509</v>
      </c>
      <c r="D455" s="10" t="s">
        <v>523</v>
      </c>
      <c r="E455" s="18" t="s">
        <v>26</v>
      </c>
      <c r="F455" s="12"/>
      <c r="G455" s="9"/>
    </row>
    <row r="456" customFormat="false" ht="27.75" hidden="false" customHeight="true" outlineLevel="0" collapsed="false">
      <c r="A456" s="13" t="n">
        <v>394</v>
      </c>
      <c r="B456" s="14" t="s">
        <v>508</v>
      </c>
      <c r="C456" s="14" t="s">
        <v>509</v>
      </c>
      <c r="D456" s="15" t="s">
        <v>524</v>
      </c>
      <c r="E456" s="17" t="s">
        <v>19</v>
      </c>
      <c r="F456" s="16"/>
      <c r="G456" s="14"/>
    </row>
    <row r="457" customFormat="false" ht="27.75" hidden="false" customHeight="true" outlineLevel="0" collapsed="false">
      <c r="A457" s="8" t="n">
        <v>395</v>
      </c>
      <c r="B457" s="9" t="s">
        <v>508</v>
      </c>
      <c r="C457" s="9" t="s">
        <v>509</v>
      </c>
      <c r="D457" s="10" t="s">
        <v>525</v>
      </c>
      <c r="E457" s="19" t="s">
        <v>39</v>
      </c>
      <c r="F457" s="12"/>
      <c r="G457" s="9"/>
    </row>
    <row r="458" customFormat="false" ht="27.75" hidden="false" customHeight="true" outlineLevel="0" collapsed="false">
      <c r="A458" s="13" t="n">
        <v>396</v>
      </c>
      <c r="B458" s="14" t="s">
        <v>508</v>
      </c>
      <c r="C458" s="14" t="s">
        <v>509</v>
      </c>
      <c r="D458" s="15" t="s">
        <v>526</v>
      </c>
      <c r="E458" s="18" t="s">
        <v>26</v>
      </c>
      <c r="F458" s="16"/>
      <c r="G458" s="14"/>
    </row>
    <row r="459" customFormat="false" ht="27.75" hidden="false" customHeight="true" outlineLevel="0" collapsed="false">
      <c r="A459" s="8" t="n">
        <v>397</v>
      </c>
      <c r="B459" s="9" t="s">
        <v>508</v>
      </c>
      <c r="C459" s="9" t="s">
        <v>509</v>
      </c>
      <c r="D459" s="10" t="s">
        <v>527</v>
      </c>
      <c r="E459" s="18" t="s">
        <v>26</v>
      </c>
      <c r="F459" s="12"/>
      <c r="G459" s="9"/>
    </row>
    <row r="460" customFormat="false" ht="27.75" hidden="false" customHeight="true" outlineLevel="0" collapsed="false">
      <c r="A460" s="13" t="n">
        <v>398</v>
      </c>
      <c r="B460" s="14" t="s">
        <v>508</v>
      </c>
      <c r="C460" s="14" t="s">
        <v>509</v>
      </c>
      <c r="D460" s="15" t="s">
        <v>528</v>
      </c>
      <c r="E460" s="18" t="s">
        <v>26</v>
      </c>
      <c r="F460" s="16"/>
      <c r="G460" s="14"/>
    </row>
    <row r="461" customFormat="false" ht="27.75" hidden="false" customHeight="true" outlineLevel="0" collapsed="false">
      <c r="A461" s="8" t="n">
        <v>399</v>
      </c>
      <c r="B461" s="9" t="s">
        <v>508</v>
      </c>
      <c r="C461" s="9" t="s">
        <v>509</v>
      </c>
      <c r="D461" s="10" t="s">
        <v>529</v>
      </c>
      <c r="E461" s="19" t="s">
        <v>39</v>
      </c>
      <c r="F461" s="12"/>
      <c r="G461" s="9"/>
    </row>
    <row r="462" customFormat="false" ht="30" hidden="false" customHeight="true" outlineLevel="0" collapsed="false">
      <c r="A462" s="6" t="s">
        <v>530</v>
      </c>
      <c r="B462" s="6"/>
      <c r="C462" s="6"/>
      <c r="D462" s="6"/>
      <c r="E462" s="6"/>
      <c r="F462" s="6"/>
      <c r="G462" s="6"/>
    </row>
    <row r="463" customFormat="false" ht="25.5" hidden="false" customHeight="true" outlineLevel="0" collapsed="false">
      <c r="A463" s="7" t="s">
        <v>531</v>
      </c>
      <c r="B463" s="7"/>
      <c r="C463" s="7"/>
      <c r="D463" s="7"/>
      <c r="E463" s="7"/>
      <c r="F463" s="7"/>
      <c r="G463" s="7"/>
    </row>
    <row r="464" customFormat="false" ht="27.75" hidden="false" customHeight="true" outlineLevel="0" collapsed="false">
      <c r="A464" s="13" t="n">
        <v>400</v>
      </c>
      <c r="B464" s="14" t="s">
        <v>532</v>
      </c>
      <c r="C464" s="14" t="s">
        <v>533</v>
      </c>
      <c r="D464" s="15" t="s">
        <v>534</v>
      </c>
      <c r="E464" s="17" t="s">
        <v>19</v>
      </c>
      <c r="F464" s="16"/>
      <c r="G464" s="14"/>
    </row>
    <row r="465" customFormat="false" ht="27.75" hidden="false" customHeight="true" outlineLevel="0" collapsed="false">
      <c r="A465" s="8" t="n">
        <v>401</v>
      </c>
      <c r="B465" s="9" t="s">
        <v>532</v>
      </c>
      <c r="C465" s="9" t="s">
        <v>533</v>
      </c>
      <c r="D465" s="10" t="s">
        <v>535</v>
      </c>
      <c r="E465" s="18" t="s">
        <v>26</v>
      </c>
      <c r="F465" s="12"/>
      <c r="G465" s="9"/>
    </row>
    <row r="466" customFormat="false" ht="27.75" hidden="false" customHeight="true" outlineLevel="0" collapsed="false">
      <c r="A466" s="13" t="n">
        <v>402</v>
      </c>
      <c r="B466" s="14" t="s">
        <v>532</v>
      </c>
      <c r="C466" s="14" t="s">
        <v>533</v>
      </c>
      <c r="D466" s="15" t="s">
        <v>536</v>
      </c>
      <c r="E466" s="17" t="s">
        <v>19</v>
      </c>
      <c r="F466" s="16"/>
      <c r="G466" s="14"/>
    </row>
    <row r="467" customFormat="false" ht="27.75" hidden="false" customHeight="true" outlineLevel="0" collapsed="false">
      <c r="A467" s="8" t="n">
        <v>403</v>
      </c>
      <c r="B467" s="9" t="s">
        <v>532</v>
      </c>
      <c r="C467" s="9" t="s">
        <v>533</v>
      </c>
      <c r="D467" s="10" t="s">
        <v>537</v>
      </c>
      <c r="E467" s="18" t="s">
        <v>26</v>
      </c>
      <c r="F467" s="12"/>
      <c r="G467" s="9"/>
    </row>
    <row r="468" customFormat="false" ht="27.75" hidden="false" customHeight="true" outlineLevel="0" collapsed="false">
      <c r="A468" s="13" t="n">
        <v>404</v>
      </c>
      <c r="B468" s="14" t="s">
        <v>532</v>
      </c>
      <c r="C468" s="14" t="s">
        <v>533</v>
      </c>
      <c r="D468" s="15" t="s">
        <v>538</v>
      </c>
      <c r="E468" s="17" t="s">
        <v>19</v>
      </c>
      <c r="F468" s="16"/>
      <c r="G468" s="14"/>
    </row>
    <row r="469" customFormat="false" ht="27.75" hidden="false" customHeight="true" outlineLevel="0" collapsed="false">
      <c r="A469" s="8" t="n">
        <v>405</v>
      </c>
      <c r="B469" s="9" t="s">
        <v>532</v>
      </c>
      <c r="C469" s="9" t="s">
        <v>533</v>
      </c>
      <c r="D469" s="10" t="s">
        <v>539</v>
      </c>
      <c r="E469" s="18" t="s">
        <v>26</v>
      </c>
      <c r="F469" s="12"/>
      <c r="G469" s="9"/>
    </row>
    <row r="470" customFormat="false" ht="27.75" hidden="false" customHeight="true" outlineLevel="0" collapsed="false">
      <c r="A470" s="13" t="n">
        <v>406</v>
      </c>
      <c r="B470" s="14" t="s">
        <v>532</v>
      </c>
      <c r="C470" s="14" t="s">
        <v>533</v>
      </c>
      <c r="D470" s="15" t="s">
        <v>540</v>
      </c>
      <c r="E470" s="18" t="s">
        <v>26</v>
      </c>
      <c r="F470" s="16"/>
      <c r="G470" s="14"/>
    </row>
    <row r="471" customFormat="false" ht="27.75" hidden="false" customHeight="true" outlineLevel="0" collapsed="false">
      <c r="A471" s="8" t="n">
        <v>407</v>
      </c>
      <c r="B471" s="9" t="s">
        <v>532</v>
      </c>
      <c r="C471" s="9" t="s">
        <v>533</v>
      </c>
      <c r="D471" s="10" t="s">
        <v>541</v>
      </c>
      <c r="E471" s="18" t="s">
        <v>26</v>
      </c>
      <c r="F471" s="12"/>
      <c r="G471" s="9"/>
    </row>
    <row r="472" customFormat="false" ht="27.75" hidden="false" customHeight="true" outlineLevel="0" collapsed="false">
      <c r="A472" s="13" t="n">
        <v>408</v>
      </c>
      <c r="B472" s="14" t="s">
        <v>532</v>
      </c>
      <c r="C472" s="14" t="s">
        <v>533</v>
      </c>
      <c r="D472" s="15" t="s">
        <v>542</v>
      </c>
      <c r="E472" s="18" t="s">
        <v>26</v>
      </c>
      <c r="F472" s="16"/>
      <c r="G472" s="14"/>
    </row>
    <row r="473" customFormat="false" ht="25.5" hidden="false" customHeight="true" outlineLevel="0" collapsed="false">
      <c r="A473" s="7" t="s">
        <v>543</v>
      </c>
      <c r="B473" s="7"/>
      <c r="C473" s="7"/>
      <c r="D473" s="7"/>
      <c r="E473" s="7"/>
      <c r="F473" s="7"/>
      <c r="G473" s="7"/>
    </row>
    <row r="474" customFormat="false" ht="27.75" hidden="false" customHeight="true" outlineLevel="0" collapsed="false">
      <c r="A474" s="13" t="n">
        <v>409</v>
      </c>
      <c r="B474" s="14" t="s">
        <v>532</v>
      </c>
      <c r="C474" s="14" t="s">
        <v>544</v>
      </c>
      <c r="D474" s="15" t="s">
        <v>545</v>
      </c>
      <c r="E474" s="17" t="s">
        <v>19</v>
      </c>
      <c r="F474" s="16"/>
      <c r="G474" s="14"/>
    </row>
    <row r="475" customFormat="false" ht="27.75" hidden="false" customHeight="true" outlineLevel="0" collapsed="false">
      <c r="A475" s="8" t="n">
        <v>410</v>
      </c>
      <c r="B475" s="9" t="s">
        <v>532</v>
      </c>
      <c r="C475" s="9" t="s">
        <v>544</v>
      </c>
      <c r="D475" s="10" t="s">
        <v>546</v>
      </c>
      <c r="E475" s="17" t="s">
        <v>19</v>
      </c>
      <c r="F475" s="12"/>
      <c r="G475" s="9"/>
    </row>
    <row r="476" customFormat="false" ht="27.75" hidden="false" customHeight="true" outlineLevel="0" collapsed="false">
      <c r="A476" s="13" t="n">
        <v>411</v>
      </c>
      <c r="B476" s="14" t="s">
        <v>532</v>
      </c>
      <c r="C476" s="14" t="s">
        <v>544</v>
      </c>
      <c r="D476" s="15" t="s">
        <v>547</v>
      </c>
      <c r="E476" s="18" t="s">
        <v>26</v>
      </c>
      <c r="F476" s="16"/>
      <c r="G476" s="14"/>
    </row>
    <row r="477" customFormat="false" ht="27.75" hidden="false" customHeight="true" outlineLevel="0" collapsed="false">
      <c r="A477" s="8" t="n">
        <v>412</v>
      </c>
      <c r="B477" s="9" t="s">
        <v>532</v>
      </c>
      <c r="C477" s="9" t="s">
        <v>544</v>
      </c>
      <c r="D477" s="10" t="s">
        <v>548</v>
      </c>
      <c r="E477" s="17" t="s">
        <v>19</v>
      </c>
      <c r="F477" s="12"/>
      <c r="G477" s="9"/>
    </row>
    <row r="478" customFormat="false" ht="27.75" hidden="false" customHeight="true" outlineLevel="0" collapsed="false">
      <c r="A478" s="13" t="n">
        <v>413</v>
      </c>
      <c r="B478" s="14" t="s">
        <v>532</v>
      </c>
      <c r="C478" s="14" t="s">
        <v>544</v>
      </c>
      <c r="D478" s="15" t="s">
        <v>549</v>
      </c>
      <c r="E478" s="18" t="s">
        <v>26</v>
      </c>
      <c r="F478" s="16"/>
      <c r="G478" s="14"/>
    </row>
    <row r="479" customFormat="false" ht="27.75" hidden="false" customHeight="true" outlineLevel="0" collapsed="false">
      <c r="A479" s="8" t="n">
        <v>414</v>
      </c>
      <c r="B479" s="9" t="s">
        <v>532</v>
      </c>
      <c r="C479" s="9" t="s">
        <v>544</v>
      </c>
      <c r="D479" s="10" t="s">
        <v>550</v>
      </c>
      <c r="E479" s="19" t="s">
        <v>39</v>
      </c>
      <c r="F479" s="12"/>
      <c r="G479" s="9"/>
    </row>
    <row r="480" customFormat="false" ht="27.75" hidden="false" customHeight="true" outlineLevel="0" collapsed="false">
      <c r="A480" s="13" t="n">
        <v>415</v>
      </c>
      <c r="B480" s="14" t="s">
        <v>532</v>
      </c>
      <c r="C480" s="14" t="s">
        <v>544</v>
      </c>
      <c r="D480" s="15" t="s">
        <v>551</v>
      </c>
      <c r="E480" s="18" t="s">
        <v>26</v>
      </c>
      <c r="F480" s="16"/>
      <c r="G480" s="14"/>
    </row>
    <row r="481" customFormat="false" ht="25.5" hidden="false" customHeight="true" outlineLevel="0" collapsed="false">
      <c r="A481" s="7" t="s">
        <v>552</v>
      </c>
      <c r="B481" s="7"/>
      <c r="C481" s="7"/>
      <c r="D481" s="7"/>
      <c r="E481" s="7"/>
      <c r="F481" s="7"/>
      <c r="G481" s="7"/>
    </row>
    <row r="482" customFormat="false" ht="27.75" hidden="false" customHeight="true" outlineLevel="0" collapsed="false">
      <c r="A482" s="13" t="n">
        <v>416</v>
      </c>
      <c r="B482" s="14" t="s">
        <v>532</v>
      </c>
      <c r="C482" s="14" t="s">
        <v>553</v>
      </c>
      <c r="D482" s="15" t="s">
        <v>554</v>
      </c>
      <c r="E482" s="17" t="s">
        <v>19</v>
      </c>
      <c r="F482" s="16"/>
      <c r="G482" s="14"/>
    </row>
    <row r="483" customFormat="false" ht="27.75" hidden="false" customHeight="true" outlineLevel="0" collapsed="false">
      <c r="A483" s="8" t="n">
        <v>417</v>
      </c>
      <c r="B483" s="9" t="s">
        <v>532</v>
      </c>
      <c r="C483" s="9" t="s">
        <v>553</v>
      </c>
      <c r="D483" s="10" t="s">
        <v>555</v>
      </c>
      <c r="E483" s="18" t="s">
        <v>26</v>
      </c>
      <c r="F483" s="12"/>
      <c r="G483" s="9"/>
    </row>
    <row r="484" customFormat="false" ht="27.75" hidden="false" customHeight="true" outlineLevel="0" collapsed="false">
      <c r="A484" s="13" t="n">
        <v>418</v>
      </c>
      <c r="B484" s="14" t="s">
        <v>532</v>
      </c>
      <c r="C484" s="14" t="s">
        <v>553</v>
      </c>
      <c r="D484" s="15" t="s">
        <v>556</v>
      </c>
      <c r="E484" s="18" t="s">
        <v>26</v>
      </c>
      <c r="F484" s="16"/>
      <c r="G484" s="14"/>
    </row>
    <row r="485" customFormat="false" ht="27.75" hidden="false" customHeight="true" outlineLevel="0" collapsed="false">
      <c r="A485" s="8" t="n">
        <v>419</v>
      </c>
      <c r="B485" s="9" t="s">
        <v>532</v>
      </c>
      <c r="C485" s="9" t="s">
        <v>553</v>
      </c>
      <c r="D485" s="10" t="s">
        <v>557</v>
      </c>
      <c r="E485" s="18" t="s">
        <v>26</v>
      </c>
      <c r="F485" s="12"/>
      <c r="G485" s="9"/>
    </row>
    <row r="486" customFormat="false" ht="27.75" hidden="false" customHeight="true" outlineLevel="0" collapsed="false">
      <c r="A486" s="13" t="n">
        <v>420</v>
      </c>
      <c r="B486" s="14" t="s">
        <v>532</v>
      </c>
      <c r="C486" s="14" t="s">
        <v>553</v>
      </c>
      <c r="D486" s="15" t="s">
        <v>558</v>
      </c>
      <c r="E486" s="18" t="s">
        <v>26</v>
      </c>
      <c r="F486" s="16"/>
      <c r="G486" s="14"/>
    </row>
    <row r="487" customFormat="false" ht="27.75" hidden="false" customHeight="true" outlineLevel="0" collapsed="false">
      <c r="A487" s="8" t="n">
        <v>421</v>
      </c>
      <c r="B487" s="9" t="s">
        <v>532</v>
      </c>
      <c r="C487" s="9" t="s">
        <v>553</v>
      </c>
      <c r="D487" s="10" t="s">
        <v>559</v>
      </c>
      <c r="E487" s="18" t="s">
        <v>26</v>
      </c>
      <c r="F487" s="12"/>
      <c r="G487" s="9"/>
    </row>
    <row r="488" customFormat="false" ht="27.75" hidden="false" customHeight="true" outlineLevel="0" collapsed="false">
      <c r="A488" s="13" t="n">
        <v>422</v>
      </c>
      <c r="B488" s="14" t="s">
        <v>532</v>
      </c>
      <c r="C488" s="14" t="s">
        <v>553</v>
      </c>
      <c r="D488" s="15" t="s">
        <v>560</v>
      </c>
      <c r="E488" s="18" t="s">
        <v>26</v>
      </c>
      <c r="F488" s="16"/>
      <c r="G488" s="14"/>
    </row>
    <row r="489" customFormat="false" ht="27.75" hidden="false" customHeight="true" outlineLevel="0" collapsed="false">
      <c r="A489" s="8" t="n">
        <v>423</v>
      </c>
      <c r="B489" s="9" t="s">
        <v>532</v>
      </c>
      <c r="C489" s="9" t="s">
        <v>553</v>
      </c>
      <c r="D489" s="10" t="s">
        <v>561</v>
      </c>
      <c r="E489" s="19" t="s">
        <v>39</v>
      </c>
      <c r="F489" s="12"/>
      <c r="G489" s="9"/>
    </row>
    <row r="490" customFormat="false" ht="27.75" hidden="false" customHeight="true" outlineLevel="0" collapsed="false">
      <c r="A490" s="13" t="n">
        <v>424</v>
      </c>
      <c r="B490" s="14" t="s">
        <v>532</v>
      </c>
      <c r="C490" s="14" t="s">
        <v>553</v>
      </c>
      <c r="D490" s="15" t="s">
        <v>562</v>
      </c>
      <c r="E490" s="19" t="s">
        <v>39</v>
      </c>
      <c r="F490" s="16"/>
      <c r="G490" s="14"/>
    </row>
    <row r="491" customFormat="false" ht="25.5" hidden="false" customHeight="true" outlineLevel="0" collapsed="false">
      <c r="A491" s="7" t="s">
        <v>563</v>
      </c>
      <c r="B491" s="7"/>
      <c r="C491" s="7"/>
      <c r="D491" s="7"/>
      <c r="E491" s="7"/>
      <c r="F491" s="7"/>
      <c r="G491" s="7"/>
    </row>
    <row r="492" customFormat="false" ht="27.75" hidden="false" customHeight="true" outlineLevel="0" collapsed="false">
      <c r="A492" s="13" t="n">
        <v>425</v>
      </c>
      <c r="B492" s="14" t="s">
        <v>532</v>
      </c>
      <c r="C492" s="14" t="s">
        <v>564</v>
      </c>
      <c r="D492" s="15" t="s">
        <v>565</v>
      </c>
      <c r="E492" s="17" t="s">
        <v>19</v>
      </c>
      <c r="F492" s="16"/>
      <c r="G492" s="14"/>
    </row>
    <row r="493" customFormat="false" ht="27.75" hidden="false" customHeight="true" outlineLevel="0" collapsed="false">
      <c r="A493" s="8" t="n">
        <v>426</v>
      </c>
      <c r="B493" s="9" t="s">
        <v>532</v>
      </c>
      <c r="C493" s="9" t="s">
        <v>564</v>
      </c>
      <c r="D493" s="10" t="s">
        <v>566</v>
      </c>
      <c r="E493" s="17" t="s">
        <v>19</v>
      </c>
      <c r="F493" s="12"/>
      <c r="G493" s="9"/>
    </row>
    <row r="494" customFormat="false" ht="27.75" hidden="false" customHeight="true" outlineLevel="0" collapsed="false">
      <c r="A494" s="13" t="n">
        <v>427</v>
      </c>
      <c r="B494" s="14" t="s">
        <v>532</v>
      </c>
      <c r="C494" s="14" t="s">
        <v>564</v>
      </c>
      <c r="D494" s="15" t="s">
        <v>567</v>
      </c>
      <c r="E494" s="17" t="s">
        <v>19</v>
      </c>
      <c r="F494" s="16"/>
      <c r="G494" s="14"/>
    </row>
    <row r="495" customFormat="false" ht="27.75" hidden="false" customHeight="true" outlineLevel="0" collapsed="false">
      <c r="A495" s="8" t="n">
        <v>428</v>
      </c>
      <c r="B495" s="9" t="s">
        <v>532</v>
      </c>
      <c r="C495" s="9" t="s">
        <v>564</v>
      </c>
      <c r="D495" s="10" t="s">
        <v>568</v>
      </c>
      <c r="E495" s="18" t="s">
        <v>26</v>
      </c>
      <c r="F495" s="12"/>
      <c r="G495" s="9"/>
    </row>
    <row r="496" customFormat="false" ht="27.75" hidden="false" customHeight="true" outlineLevel="0" collapsed="false">
      <c r="A496" s="13" t="n">
        <v>429</v>
      </c>
      <c r="B496" s="14" t="s">
        <v>532</v>
      </c>
      <c r="C496" s="14" t="s">
        <v>564</v>
      </c>
      <c r="D496" s="15" t="s">
        <v>569</v>
      </c>
      <c r="E496" s="18" t="s">
        <v>26</v>
      </c>
      <c r="F496" s="16"/>
      <c r="G496" s="14"/>
    </row>
    <row r="497" customFormat="false" ht="27.75" hidden="false" customHeight="true" outlineLevel="0" collapsed="false">
      <c r="A497" s="8" t="n">
        <v>430</v>
      </c>
      <c r="B497" s="9" t="s">
        <v>532</v>
      </c>
      <c r="C497" s="9" t="s">
        <v>564</v>
      </c>
      <c r="D497" s="10" t="s">
        <v>570</v>
      </c>
      <c r="E497" s="18" t="s">
        <v>26</v>
      </c>
      <c r="F497" s="12"/>
      <c r="G497" s="9"/>
    </row>
    <row r="498" customFormat="false" ht="27.75" hidden="false" customHeight="true" outlineLevel="0" collapsed="false">
      <c r="A498" s="13" t="n">
        <v>431</v>
      </c>
      <c r="B498" s="14" t="s">
        <v>532</v>
      </c>
      <c r="C498" s="14" t="s">
        <v>564</v>
      </c>
      <c r="D498" s="15" t="s">
        <v>571</v>
      </c>
      <c r="E498" s="19" t="s">
        <v>39</v>
      </c>
      <c r="F498" s="16"/>
      <c r="G498" s="14"/>
    </row>
    <row r="499" customFormat="false" ht="27.75" hidden="false" customHeight="true" outlineLevel="0" collapsed="false">
      <c r="A499" s="8" t="n">
        <v>432</v>
      </c>
      <c r="B499" s="9" t="s">
        <v>532</v>
      </c>
      <c r="C499" s="9" t="s">
        <v>564</v>
      </c>
      <c r="D499" s="10" t="s">
        <v>572</v>
      </c>
      <c r="E499" s="19" t="s">
        <v>39</v>
      </c>
      <c r="F499" s="12"/>
      <c r="G499" s="9"/>
    </row>
    <row r="500" customFormat="false" ht="30" hidden="false" customHeight="true" outlineLevel="0" collapsed="false">
      <c r="A500" s="6" t="s">
        <v>573</v>
      </c>
      <c r="B500" s="6"/>
      <c r="C500" s="6"/>
      <c r="D500" s="6"/>
      <c r="E500" s="6"/>
      <c r="F500" s="6"/>
      <c r="G500" s="6"/>
    </row>
    <row r="501" customFormat="false" ht="25.5" hidden="false" customHeight="true" outlineLevel="0" collapsed="false">
      <c r="A501" s="7" t="s">
        <v>574</v>
      </c>
      <c r="B501" s="7"/>
      <c r="C501" s="7"/>
      <c r="D501" s="7"/>
      <c r="E501" s="7"/>
      <c r="F501" s="7"/>
      <c r="G501" s="7"/>
    </row>
    <row r="502" customFormat="false" ht="27.75" hidden="false" customHeight="true" outlineLevel="0" collapsed="false">
      <c r="A502" s="13" t="n">
        <v>433</v>
      </c>
      <c r="B502" s="14" t="s">
        <v>575</v>
      </c>
      <c r="C502" s="14" t="s">
        <v>576</v>
      </c>
      <c r="D502" s="15" t="s">
        <v>577</v>
      </c>
      <c r="E502" s="19" t="s">
        <v>39</v>
      </c>
      <c r="F502" s="16"/>
      <c r="G502" s="14"/>
    </row>
    <row r="503" customFormat="false" ht="27.75" hidden="false" customHeight="true" outlineLevel="0" collapsed="false">
      <c r="A503" s="8" t="n">
        <v>434</v>
      </c>
      <c r="B503" s="9" t="s">
        <v>575</v>
      </c>
      <c r="C503" s="9" t="s">
        <v>576</v>
      </c>
      <c r="D503" s="10" t="s">
        <v>578</v>
      </c>
      <c r="E503" s="18" t="s">
        <v>26</v>
      </c>
      <c r="F503" s="12"/>
      <c r="G503" s="9"/>
    </row>
    <row r="504" customFormat="false" ht="27.75" hidden="false" customHeight="true" outlineLevel="0" collapsed="false">
      <c r="A504" s="13" t="n">
        <v>435</v>
      </c>
      <c r="B504" s="14" t="s">
        <v>575</v>
      </c>
      <c r="C504" s="14" t="s">
        <v>576</v>
      </c>
      <c r="D504" s="15" t="s">
        <v>579</v>
      </c>
      <c r="E504" s="19" t="s">
        <v>39</v>
      </c>
      <c r="F504" s="16"/>
      <c r="G504" s="14"/>
    </row>
    <row r="505" customFormat="false" ht="27.75" hidden="false" customHeight="true" outlineLevel="0" collapsed="false">
      <c r="A505" s="8" t="n">
        <v>436</v>
      </c>
      <c r="B505" s="9" t="s">
        <v>575</v>
      </c>
      <c r="C505" s="9" t="s">
        <v>576</v>
      </c>
      <c r="D505" s="10" t="s">
        <v>580</v>
      </c>
      <c r="E505" s="19" t="s">
        <v>39</v>
      </c>
      <c r="F505" s="12"/>
      <c r="G505" s="9"/>
    </row>
    <row r="506" customFormat="false" ht="27.75" hidden="false" customHeight="true" outlineLevel="0" collapsed="false">
      <c r="A506" s="13" t="n">
        <v>437</v>
      </c>
      <c r="B506" s="14" t="s">
        <v>575</v>
      </c>
      <c r="C506" s="14" t="s">
        <v>576</v>
      </c>
      <c r="D506" s="15" t="s">
        <v>581</v>
      </c>
      <c r="E506" s="19" t="s">
        <v>39</v>
      </c>
      <c r="F506" s="16"/>
      <c r="G506" s="14"/>
    </row>
    <row r="507" customFormat="false" ht="27.75" hidden="false" customHeight="true" outlineLevel="0" collapsed="false">
      <c r="A507" s="8"/>
      <c r="B507" s="9" t="s">
        <v>575</v>
      </c>
      <c r="C507" s="9" t="s">
        <v>576</v>
      </c>
      <c r="D507" s="21" t="s">
        <v>582</v>
      </c>
      <c r="E507" s="17" t="s">
        <v>19</v>
      </c>
      <c r="F507" s="12"/>
      <c r="G507" s="9"/>
    </row>
    <row r="508" customFormat="false" ht="27.75" hidden="false" customHeight="true" outlineLevel="0" collapsed="false">
      <c r="A508" s="13"/>
      <c r="B508" s="14" t="s">
        <v>575</v>
      </c>
      <c r="C508" s="14" t="s">
        <v>576</v>
      </c>
      <c r="D508" s="22" t="s">
        <v>583</v>
      </c>
      <c r="E508" s="17" t="s">
        <v>19</v>
      </c>
      <c r="F508" s="16"/>
      <c r="G508" s="14"/>
    </row>
    <row r="509" customFormat="false" ht="27.75" hidden="false" customHeight="true" outlineLevel="0" collapsed="false">
      <c r="A509" s="8"/>
      <c r="B509" s="9" t="s">
        <v>575</v>
      </c>
      <c r="C509" s="9" t="s">
        <v>576</v>
      </c>
      <c r="D509" s="21" t="s">
        <v>584</v>
      </c>
      <c r="E509" s="17" t="s">
        <v>19</v>
      </c>
      <c r="F509" s="12"/>
      <c r="G509" s="9"/>
    </row>
    <row r="510" customFormat="false" ht="27.75" hidden="false" customHeight="true" outlineLevel="0" collapsed="false">
      <c r="A510" s="13"/>
      <c r="B510" s="14" t="s">
        <v>575</v>
      </c>
      <c r="C510" s="14" t="s">
        <v>576</v>
      </c>
      <c r="D510" s="22" t="s">
        <v>585</v>
      </c>
      <c r="E510" s="17" t="s">
        <v>19</v>
      </c>
      <c r="F510" s="16"/>
      <c r="G510" s="14"/>
    </row>
    <row r="512" customFormat="false" ht="31.5" hidden="false" customHeight="true" outlineLevel="0" collapsed="false">
      <c r="A512" s="23" t="s">
        <v>586</v>
      </c>
      <c r="B512" s="23"/>
      <c r="C512" s="23"/>
      <c r="D512" s="23"/>
      <c r="E512" s="23"/>
      <c r="F512" s="23"/>
      <c r="G512" s="23"/>
    </row>
    <row r="513" customFormat="false" ht="25.5" hidden="false" customHeight="true" outlineLevel="0" collapsed="false">
      <c r="D513" s="24" t="s">
        <v>587</v>
      </c>
      <c r="E513" s="25" t="n">
        <f aca="false">COUNTA(E5:E510)-COUNTBLANK(E5:E510)</f>
        <v>374</v>
      </c>
      <c r="F513" s="25"/>
    </row>
    <row r="514" customFormat="false" ht="25.5" hidden="false" customHeight="true" outlineLevel="0" collapsed="false">
      <c r="D514" s="24" t="s">
        <v>588</v>
      </c>
      <c r="E514" s="25" t="n">
        <f aca="false">COUNTIF(F5:F510,"✅")</f>
        <v>0</v>
      </c>
      <c r="F514" s="25"/>
    </row>
    <row r="515" customFormat="false" ht="25.5" hidden="false" customHeight="true" outlineLevel="0" collapsed="false">
      <c r="D515" s="24" t="s">
        <v>589</v>
      </c>
      <c r="E515" s="25" t="n">
        <f aca="false">COUNTIF(F5:F510,"❌")</f>
        <v>0</v>
      </c>
      <c r="F515" s="25"/>
    </row>
    <row r="516" customFormat="false" ht="25.5" hidden="false" customHeight="true" outlineLevel="0" collapsed="false">
      <c r="D516" s="24" t="s">
        <v>590</v>
      </c>
      <c r="E516" s="25" t="n">
        <f aca="false">COUNTIF(F5:F510,"➖")</f>
        <v>0</v>
      </c>
      <c r="F516" s="25"/>
    </row>
    <row r="517" customFormat="false" ht="25.5" hidden="false" customHeight="true" outlineLevel="0" collapsed="false">
      <c r="D517" s="24" t="s">
        <v>591</v>
      </c>
      <c r="E517" s="25" t="n">
        <f aca="false">COUNTBLANK(F5:F510)</f>
        <v>506</v>
      </c>
      <c r="F517" s="25"/>
    </row>
    <row r="518" customFormat="false" ht="25.5" hidden="false" customHeight="true" outlineLevel="0" collapsed="false">
      <c r="D518" s="24" t="s">
        <v>592</v>
      </c>
      <c r="E518" s="26" t="n">
        <f aca="false">IF((COUNTIF(F5:F510,"✅")+COUNTIF(F5:F510,"❌"))=0,0,COUNTIF(F5:F510,"✅")/(COUNTIF(F5:F510,"✅")+COUNTIF(F5:F510,"❌")))</f>
        <v>0</v>
      </c>
      <c r="F518" s="26"/>
    </row>
    <row r="520" customFormat="false" ht="25.5" hidden="false" customHeight="true" outlineLevel="0" collapsed="false">
      <c r="D520" s="24" t="s">
        <v>593</v>
      </c>
      <c r="E520" s="27" t="n">
        <f aca="false">COUNTIFS(E5:E510,"P0",F5:F510,"❌")</f>
        <v>0</v>
      </c>
      <c r="F520" s="27"/>
    </row>
    <row r="521" customFormat="false" ht="25.5" hidden="false" customHeight="true" outlineLevel="0" collapsed="false">
      <c r="D521" s="24" t="s">
        <v>594</v>
      </c>
      <c r="E521" s="25" t="n">
        <f aca="false">COUNTIFS(E5:E510,"P1",F5:F510,"❌")</f>
        <v>0</v>
      </c>
      <c r="F521" s="25"/>
    </row>
    <row r="522" customFormat="false" ht="25.5" hidden="false" customHeight="true" outlineLevel="0" collapsed="false">
      <c r="D522" s="24" t="s">
        <v>595</v>
      </c>
      <c r="E522" s="25" t="n">
        <f aca="false">COUNTIFS(E5:E510,"P2",F5:F510,"❌")</f>
        <v>0</v>
      </c>
      <c r="F522" s="25"/>
    </row>
    <row r="523" customFormat="false" ht="25.5" hidden="false" customHeight="true" outlineLevel="0" collapsed="false">
      <c r="D523" s="24" t="s">
        <v>596</v>
      </c>
      <c r="E523" s="25" t="n">
        <f aca="false">COUNTIFS(E5:E510,"P3",F5:F510,"❌")</f>
        <v>0</v>
      </c>
      <c r="F523" s="25"/>
    </row>
    <row r="524" customFormat="false" ht="25.5" hidden="false" customHeight="true" outlineLevel="0" collapsed="false">
      <c r="D524" s="24" t="s">
        <v>597</v>
      </c>
      <c r="E524" s="25" t="n">
        <f aca="false">COUNTIFS(E5:E510,"P4",F5:F510,"❌")</f>
        <v>0</v>
      </c>
      <c r="F524" s="25"/>
    </row>
  </sheetData>
  <autoFilter ref="A4:G444"/>
  <mergeCells count="81">
    <mergeCell ref="A1:G1"/>
    <mergeCell ref="A2:G2"/>
    <mergeCell ref="A3:G3"/>
    <mergeCell ref="A5:G5"/>
    <mergeCell ref="A6:G6"/>
    <mergeCell ref="A23:G23"/>
    <mergeCell ref="A40:G40"/>
    <mergeCell ref="A41:G41"/>
    <mergeCell ref="A58:G58"/>
    <mergeCell ref="A67:G67"/>
    <mergeCell ref="A84:G84"/>
    <mergeCell ref="A85:G85"/>
    <mergeCell ref="A92:G92"/>
    <mergeCell ref="A99:G99"/>
    <mergeCell ref="A109:G109"/>
    <mergeCell ref="A110:G110"/>
    <mergeCell ref="A117:G117"/>
    <mergeCell ref="A131:G131"/>
    <mergeCell ref="A132:G132"/>
    <mergeCell ref="A141:G141"/>
    <mergeCell ref="A153:G153"/>
    <mergeCell ref="A171:G171"/>
    <mergeCell ref="A176:G176"/>
    <mergeCell ref="A182:G182"/>
    <mergeCell ref="A186:G186"/>
    <mergeCell ref="A187:G187"/>
    <mergeCell ref="A195:G195"/>
    <mergeCell ref="A201:G201"/>
    <mergeCell ref="A206:G206"/>
    <mergeCell ref="A215:G215"/>
    <mergeCell ref="A220:G220"/>
    <mergeCell ref="A226:G226"/>
    <mergeCell ref="A227:G227"/>
    <mergeCell ref="A237:G237"/>
    <mergeCell ref="A238:G238"/>
    <mergeCell ref="A245:G245"/>
    <mergeCell ref="A252:G252"/>
    <mergeCell ref="A257:G257"/>
    <mergeCell ref="A263:G263"/>
    <mergeCell ref="A269:G269"/>
    <mergeCell ref="A273:G273"/>
    <mergeCell ref="A274:G274"/>
    <mergeCell ref="A284:G284"/>
    <mergeCell ref="A294:G294"/>
    <mergeCell ref="A299:G299"/>
    <mergeCell ref="A313:G313"/>
    <mergeCell ref="A314:G314"/>
    <mergeCell ref="A326:G326"/>
    <mergeCell ref="A340:G340"/>
    <mergeCell ref="A341:G341"/>
    <mergeCell ref="A354:G354"/>
    <mergeCell ref="A362:G362"/>
    <mergeCell ref="A367:G367"/>
    <mergeCell ref="A373:G373"/>
    <mergeCell ref="A388:G388"/>
    <mergeCell ref="A391:G391"/>
    <mergeCell ref="A392:G392"/>
    <mergeCell ref="A403:G403"/>
    <mergeCell ref="A411:G411"/>
    <mergeCell ref="A427:G427"/>
    <mergeCell ref="A440:G440"/>
    <mergeCell ref="A441:G441"/>
    <mergeCell ref="A462:G462"/>
    <mergeCell ref="A463:G463"/>
    <mergeCell ref="A473:G473"/>
    <mergeCell ref="A481:G481"/>
    <mergeCell ref="A491:G491"/>
    <mergeCell ref="A500:G500"/>
    <mergeCell ref="A501:G501"/>
    <mergeCell ref="A512:G512"/>
    <mergeCell ref="E513:F513"/>
    <mergeCell ref="E514:F514"/>
    <mergeCell ref="E515:F515"/>
    <mergeCell ref="E516:F516"/>
    <mergeCell ref="E517:F517"/>
    <mergeCell ref="E518:F518"/>
    <mergeCell ref="E520:F520"/>
    <mergeCell ref="E521:F521"/>
    <mergeCell ref="E522:F522"/>
    <mergeCell ref="E523:F523"/>
    <mergeCell ref="E524:F524"/>
  </mergeCells>
  <dataValidations count="1">
    <dataValidation allowBlank="true" error="Kies ✅, ❌ of ➖" errorStyle="stop" errorTitle="Ongeldige status" operator="between" prompt="Kies status" promptTitle="Status" showDropDown="false" showErrorMessage="false" showInputMessage="false" sqref="F7:F22 F24:F39 F42:F57 F59:F66 F68:F83 F86:F91 F93:F98 F100:F108 F111:F116 F118:F130 F133:F140 F142:F152 F154:F170 F172:F175 F177:F181 F183:F185 F188:F194 F196:F200 F202:F205 F207:F214 F216:F219 F221:F225 F228:F236 F239:F244 F246:F251 F253:F256 F258:F262 F264:F268 F270:F272 F275:F283 F285:F293 F295:F298 F300:F312 F315:F325 F327:F339 F342:F353 F355:F361 F363:F366 F368:F372 F374:F387 F389:F390 F393:F402 F404:F410 F412:F426 F428:F439 F442:F461 F464:F472 F474:F480 F482:F490 F492:F499 F502:F510" type="list">
      <formula1>"✅,❌,➖"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8A7D"/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42" hidden="false" customHeight="true" outlineLevel="0" collapsed="false">
      <c r="A1" s="28" t="s">
        <v>598</v>
      </c>
      <c r="B1" s="28"/>
      <c r="C1" s="28"/>
    </row>
    <row r="3" customFormat="false" ht="27.75" hidden="false" customHeight="true" outlineLevel="0" collapsed="false">
      <c r="B3" s="29" t="s">
        <v>599</v>
      </c>
      <c r="C3" s="29"/>
    </row>
    <row r="4" customFormat="false" ht="24" hidden="false" customHeight="true" outlineLevel="0" collapsed="false">
      <c r="B4" s="30" t="s">
        <v>600</v>
      </c>
      <c r="C4" s="31" t="s">
        <v>601</v>
      </c>
    </row>
    <row r="5" customFormat="false" ht="24" hidden="false" customHeight="true" outlineLevel="0" collapsed="false">
      <c r="B5" s="30" t="s">
        <v>602</v>
      </c>
      <c r="C5" s="31" t="s">
        <v>603</v>
      </c>
    </row>
    <row r="6" customFormat="false" ht="24" hidden="false" customHeight="true" outlineLevel="0" collapsed="false">
      <c r="B6" s="30" t="s">
        <v>604</v>
      </c>
      <c r="C6" s="31" t="s">
        <v>605</v>
      </c>
    </row>
    <row r="8" customFormat="false" ht="27.75" hidden="false" customHeight="true" outlineLevel="0" collapsed="false">
      <c r="B8" s="29" t="s">
        <v>606</v>
      </c>
      <c r="C8" s="29"/>
    </row>
    <row r="9" customFormat="false" ht="24" hidden="false" customHeight="true" outlineLevel="0" collapsed="false">
      <c r="B9" s="30" t="s">
        <v>607</v>
      </c>
      <c r="C9" s="31" t="s">
        <v>608</v>
      </c>
    </row>
    <row r="10" customFormat="false" ht="24" hidden="false" customHeight="true" outlineLevel="0" collapsed="false">
      <c r="B10" s="30" t="s">
        <v>609</v>
      </c>
      <c r="C10" s="31" t="s">
        <v>610</v>
      </c>
    </row>
    <row r="11" customFormat="false" ht="24" hidden="false" customHeight="true" outlineLevel="0" collapsed="false">
      <c r="B11" s="30" t="s">
        <v>611</v>
      </c>
      <c r="C11" s="31" t="s">
        <v>612</v>
      </c>
    </row>
    <row r="12" customFormat="false" ht="24" hidden="false" customHeight="true" outlineLevel="0" collapsed="false">
      <c r="B12" s="30" t="s">
        <v>613</v>
      </c>
      <c r="C12" s="31" t="s">
        <v>614</v>
      </c>
    </row>
    <row r="13" customFormat="false" ht="24" hidden="false" customHeight="true" outlineLevel="0" collapsed="false">
      <c r="B13" s="30" t="s">
        <v>615</v>
      </c>
      <c r="C13" s="31" t="s">
        <v>616</v>
      </c>
    </row>
    <row r="15" customFormat="false" ht="27.75" hidden="false" customHeight="true" outlineLevel="0" collapsed="false">
      <c r="B15" s="29" t="s">
        <v>617</v>
      </c>
      <c r="C15" s="29"/>
    </row>
    <row r="16" customFormat="false" ht="24" hidden="false" customHeight="true" outlineLevel="0" collapsed="false">
      <c r="B16" s="30" t="s">
        <v>618</v>
      </c>
      <c r="C16" s="31" t="s">
        <v>619</v>
      </c>
    </row>
    <row r="17" customFormat="false" ht="24" hidden="false" customHeight="true" outlineLevel="0" collapsed="false">
      <c r="B17" s="30" t="s">
        <v>620</v>
      </c>
      <c r="C17" s="31" t="s">
        <v>621</v>
      </c>
    </row>
    <row r="18" customFormat="false" ht="24" hidden="false" customHeight="true" outlineLevel="0" collapsed="false">
      <c r="B18" s="30" t="s">
        <v>622</v>
      </c>
      <c r="C18" s="31" t="s">
        <v>623</v>
      </c>
    </row>
    <row r="19" customFormat="false" ht="24" hidden="false" customHeight="true" outlineLevel="0" collapsed="false">
      <c r="B19" s="30" t="s">
        <v>624</v>
      </c>
      <c r="C19" s="31" t="s">
        <v>625</v>
      </c>
    </row>
    <row r="21" customFormat="false" ht="27.75" hidden="false" customHeight="true" outlineLevel="0" collapsed="false">
      <c r="B21" s="29" t="s">
        <v>626</v>
      </c>
      <c r="C21" s="29"/>
    </row>
    <row r="22" customFormat="false" ht="24" hidden="false" customHeight="true" outlineLevel="0" collapsed="false">
      <c r="B22" s="30" t="s">
        <v>627</v>
      </c>
      <c r="C22" s="31" t="s">
        <v>628</v>
      </c>
    </row>
    <row r="23" customFormat="false" ht="24" hidden="false" customHeight="true" outlineLevel="0" collapsed="false">
      <c r="B23" s="30" t="s">
        <v>629</v>
      </c>
      <c r="C23" s="31" t="s">
        <v>630</v>
      </c>
    </row>
  </sheetData>
  <mergeCells count="5">
    <mergeCell ref="A1:C1"/>
    <mergeCell ref="B3:C3"/>
    <mergeCell ref="B8:C8"/>
    <mergeCell ref="B15:C15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2026-02-11T13:49:08Z</dcterms:created>
  <dc:creator>openpyxl</dc:creator>
  <dc:description/>
  <dc:language>en-US</dc:language>
  <cp:lastModifiedBy/>
  <dcterms:modified xsi:type="dcterms:W3CDTF">2026-02-11T13:49:08Z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